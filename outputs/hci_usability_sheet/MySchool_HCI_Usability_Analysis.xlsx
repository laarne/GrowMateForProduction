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0a0f7a7f7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c67b5e3c4b42a2"/>
    <x:sheet xmlns:r="http://schemas.openxmlformats.org/officeDocument/2006/relationships" name="Participants" sheetId="2" r:id="Re77e9cf51a494fa0"/>
    <x:sheet xmlns:r="http://schemas.openxmlformats.org/officeDocument/2006/relationships" name="Task Log" sheetId="3" r:id="Rd732210593d54c2d"/>
    <x:sheet xmlns:r="http://schemas.openxmlformats.org/officeDocument/2006/relationships" name="SUS Responses" sheetId="4" r:id="Rc3ffd480d09a4859"/>
    <x:sheet xmlns:r="http://schemas.openxmlformats.org/officeDocument/2006/relationships" name="Qualitative Insights" sheetId="5" r:id="Rfcaf569e08ad45e1"/>
    <x:sheet xmlns:r="http://schemas.openxmlformats.org/officeDocument/2006/relationships" name="Source Notes" sheetId="6" r:id="R4fc1392a977e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0.00"/>
    <x:numFmt numFmtId="203" formatCode="0"/>
  </x:numFmts>
  <x:fonts count="5">
    <x:font>
      <x:sz val="11"/>
      <x:name val="Carlito"/>
    </x:font>
    <x:font>
      <x:b/>
      <x:sz val="18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64E63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  <x:fill>
      <x:patternFill patternType="solid">
        <x:fgColor rgb="CCFBF1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17ac750854a94" /><Relationship Type="http://schemas.openxmlformats.org/officeDocument/2006/relationships/theme" Target="/xl/theme/theme1.xml" Id="Recf4e09dba454bf1" /><Relationship Type="http://schemas.openxmlformats.org/officeDocument/2006/relationships/sharedStrings" Target="/xl/sharedStrings.xml" Id="R206abb111af24be2" /><Relationship Type="http://schemas.openxmlformats.org/officeDocument/2006/relationships/worksheet" Target="/xl/worksheets/sheet1.xml" Id="R6ec67b5e3c4b42a2" /><Relationship Type="http://schemas.openxmlformats.org/officeDocument/2006/relationships/worksheet" Target="/xl/worksheets/sheet2.xml" Id="Re77e9cf51a494fa0" /><Relationship Type="http://schemas.openxmlformats.org/officeDocument/2006/relationships/worksheet" Target="/xl/worksheets/sheet3.xml" Id="Rd732210593d54c2d" /><Relationship Type="http://schemas.openxmlformats.org/officeDocument/2006/relationships/worksheet" Target="/xl/worksheets/sheet4.xml" Id="Rc3ffd480d09a4859" /><Relationship Type="http://schemas.openxmlformats.org/officeDocument/2006/relationships/worksheet" Target="/xl/worksheets/sheet5.xml" Id="Rfcaf569e08ad45e1" /><Relationship Type="http://schemas.openxmlformats.org/officeDocument/2006/relationships/worksheet" Target="/xl/worksheets/sheet6.xml" Id="R4fc1392a977e4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7ad86926284b1a" /><Relationship Type="http://schemas.openxmlformats.org/officeDocument/2006/relationships/chart" Target="/xl/drawings/charts/chart2.xml" Id="R632639f23ecd49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Outcomes by Task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Pass</c:v>
          </c:tx>
          <c:cat>
            <c:strRef>
              <c:f>'Summary'!$D$5:$D$14</c:f>
              <c:strCache>
                <c:ptCount val="0"/>
              </c:strCache>
            </c:strRef>
          </c:cat>
          <c:val>
            <c:numRef>
              <c:f>'Summary'!$E$5:$E$14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Assist</c:v>
          </c:tx>
          <c:cat>
            <c:strRef>
              <c:f>'Summary'!$D$5:$D$14</c:f>
              <c:strCache>
                <c:ptCount val="0"/>
              </c:strCache>
            </c:strRef>
          </c:cat>
          <c:val>
            <c:numRef>
              <c:f>'Summary'!$F$5:$F$14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Fail</c:v>
          </c:tx>
          <c:cat>
            <c:strRef>
              <c:f>'Summary'!$D$5:$D$14</c:f>
              <c:strCache>
                <c:ptCount val="0"/>
              </c:strCache>
            </c:strRef>
          </c:cat>
          <c:val>
            <c:numRef>
              <c:f>'Summary'!$G$5:$G$14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Most Frequent Usability Themes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Mentions</c:v>
          </c:tx>
          <c:cat>
            <c:strRef>
              <c:f>'Summary'!$A$12:$A$16</c:f>
              <c:strCache>
                <c:ptCount val="0"/>
              </c:strCache>
            </c:strRef>
          </c:cat>
          <c:val>
            <c:numRef>
              <c:f>'Summary'!$B$12:$B$16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7ad86926284b1a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2639f23ecd49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ummaryTable" displayName="TaskSummaryTable" ref="D4:I14" headerRowCount="1">
  <x:autoFilter ref="D4:I14"/>
  <x:tableColumns count="6">
    <x:tableColumn id="1" name="Task"/>
    <x:tableColumn id="2" name="Pass"/>
    <x:tableColumn id="3" name="Assist"/>
    <x:tableColumn id="4" name="Fail"/>
    <x:tableColumn id="5" name="Pass Rate"/>
    <x:tableColumn id="6" name="Avg Errors"/>
  </x:tableColumns>
  <x:tableStyleInfo name="TableStyleMedium2" showRowStripes="1"/>
</x:table>
</file>

<file path=xl/tables/table2.xml><?xml version="1.0" encoding="utf-8"?>
<x:table xmlns:x="http://schemas.openxmlformats.org/spreadsheetml/2006/main" id="2" name="ThemeSummaryTable" displayName="ThemeSummaryTable" ref="A11:B16" headerRowCount="1">
  <x:autoFilter ref="A11:B16"/>
  <x:tableColumns count="2">
    <x:tableColumn id="1" name="Theme"/>
    <x:tableColumn id="2" name="Mentions"/>
  </x:tableColumns>
  <x:tableStyleInfo name="TableStyleMedium2" showRowStripes="1"/>
</x:table>
</file>

<file path=xl/tables/table3.xml><?xml version="1.0" encoding="utf-8"?>
<x:table xmlns:x="http://schemas.openxmlformats.org/spreadsheetml/2006/main" id="3" name="ParticipantsTable" displayName="ParticipantsTable" ref="A2:K32" headerRowCount="1">
  <x:autoFilter ref="A2:K32"/>
  <x:tableColumns count="11">
    <x:tableColumn id="1" name="Participant"/>
    <x:tableColumn id="2" name="Platform"/>
    <x:tableColumn id="3" name="Version"/>
    <x:tableColumn id="4" name="Device"/>
    <x:tableColumn id="5" name="Gender"/>
    <x:tableColumn id="6" name="Duration"/>
    <x:tableColumn id="7" name="SUS Score"/>
    <x:tableColumn id="8" name="Pass Tasks"/>
    <x:tableColumn id="9" name="Assist Tasks"/>
    <x:tableColumn id="10" name="Fail Tasks"/>
    <x:tableColumn id="11" name="Total Errors"/>
  </x:tableColumns>
  <x:tableStyleInfo name="TableStyleMedium2" showRowStripes="1"/>
</x:table>
</file>

<file path=xl/tables/table4.xml><?xml version="1.0" encoding="utf-8"?>
<x:table xmlns:x="http://schemas.openxmlformats.org/spreadsheetml/2006/main" id="4" name="TaskLogTable" displayName="TaskLogTable" ref="A2:H302" headerRowCount="1">
  <x:autoFilter ref="A2:H302"/>
  <x:tableColumns count="8">
    <x:tableColumn id="1" name="Participant"/>
    <x:tableColumn id="2" name="Device"/>
    <x:tableColumn id="3" name="Gender"/>
    <x:tableColumn id="4" name="SUS Score"/>
    <x:tableColumn id="5" name="Task"/>
    <x:tableColumn id="6" name="Result"/>
    <x:tableColumn id="7" name="# Errors"/>
    <x:tableColumn id="8" name="Observation"/>
  </x:tableColumns>
  <x:tableStyleInfo name="TableStyleMedium2" showRowStripes="1"/>
</x:table>
</file>

<file path=xl/tables/table5.xml><?xml version="1.0" encoding="utf-8"?>
<x:table xmlns:x="http://schemas.openxmlformats.org/spreadsheetml/2006/main" id="5" name="SUSResponsesTable" displayName="SUSResponsesTable" ref="A2:L32" headerRowCount="1">
  <x:autoFilter ref="A2:L32"/>
  <x:tableColumns count="12">
    <x:tableColumn id="1" name="Participant"/>
    <x:tableColumn id="2" name="Use frequently"/>
    <x:tableColumn id="3" name="System complex"/>
    <x:tableColumn id="4" name="Easy to use"/>
    <x:tableColumn id="5" name="Need support"/>
    <x:tableColumn id="6" name="Integrated"/>
    <x:tableColumn id="7" name="Inconsistent"/>
    <x:tableColumn id="8" name="Learn quickly"/>
    <x:tableColumn id="9" name="Cumbersome"/>
    <x:tableColumn id="10" name="Confident"/>
    <x:tableColumn id="11" name="Need to learn"/>
    <x:tableColumn id="12" name="SUS Score"/>
  </x:tableColumns>
  <x:tableStyleInfo name="TableStyleMedium2" showRowStripes="1"/>
</x:table>
</file>

<file path=xl/tables/table6.xml><?xml version="1.0" encoding="utf-8"?>
<x:table xmlns:x="http://schemas.openxmlformats.org/spreadsheetml/2006/main" id="6" name="QualitativeInsightsTable" displayName="QualitativeInsightsTable" ref="A2:H32" headerRowCount="1">
  <x:autoFilter ref="A2:H32"/>
  <x:tableColumns count="8">
    <x:tableColumn id="1" name="Participant"/>
    <x:tableColumn id="2" name="Most liked feature"/>
    <x:tableColumn id="3" name="Suggested improvements"/>
    <x:tableColumn id="4" name="Unnecessary feature"/>
    <x:tableColumn id="5" name="Most frustrating part"/>
    <x:tableColumn id="6" name="Design change suggestion"/>
    <x:tableColumn id="7" name="Text readability"/>
    <x:tableColumn id="8" name="Overall 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906c86ff08436b" /><Relationship Type="http://schemas.openxmlformats.org/officeDocument/2006/relationships/table" Target="/xl/tables/table1.xml" Id="Re334b6367f6f4486" /><Relationship Type="http://schemas.openxmlformats.org/officeDocument/2006/relationships/table" Target="/xl/tables/table2.xml" Id="R7b7600d8c2e444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0a65822be78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bc7c3717ec04e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e34928d411b41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ba58c2810e545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39999771118164" hidden="0" customWidth="1"/>
    <x:col min="2" max="2" width="14.800000190734863" hidden="0" customWidth="1"/>
    <x:col min="3" max="3" width="6.730000019073486" hidden="0" customWidth="1"/>
    <x:col min="4" max="4" width="30.280000686645508" hidden="0" customWidth="1"/>
    <x:col min="5" max="5" width="14.130000114440918" hidden="0" customWidth="1"/>
    <x:col min="6" max="6" width="14.130000114440918" hidden="0" customWidth="1"/>
    <x:col min="7" max="7" width="14.130000114440918" hidden="0" customWidth="1"/>
    <x:col min="8" max="8" width="15.479999542236328" hidden="0" customWidth="1"/>
    <x:col min="9" max="9" width="14.800000190734863" hidden="0" customWidth="1"/>
    <x:col min="10" max="10" width="10.09000015258789" hidden="0" customWidth="1"/>
  </x:cols>
  <x:sheetData>
    <x:row r="1" ht="31.5" customHeight="1">
      <x:c r="A1" s="3" t="str">
        <x:v>MySchool HCI Usability Analysis</x:v>
      </x:c>
      <x:c r="B1" s="3" t="str">
        <x:v>MySchool HCI Usability Analysis</x:v>
      </x:c>
      <x:c r="C1" s="3" t="str">
        <x:v>MySchool HCI Usability Analysis</x:v>
      </x:c>
      <x:c r="D1" s="3" t="str">
        <x:v>MySchool HCI Usability Analysis</x:v>
      </x:c>
      <x:c r="E1" s="3" t="str">
        <x:v>MySchool HCI Usability Analysis</x:v>
      </x:c>
      <x:c r="F1" s="3" t="str">
        <x:v>MySchool HCI Usability Analysis</x:v>
      </x:c>
      <x:c r="G1" s="3" t="str">
        <x:v>MySchool HCI Usability Analysis</x:v>
      </x:c>
      <x:c r="H1" s="3" t="str">
        <x:v>MySchool HCI Usability Analysis</x:v>
      </x:c>
      <x:c r="I1" s="3" t="str">
        <x:v>MySchool HCI Usability Analysis</x:v>
      </x:c>
      <x:c r="J1" s="3" t="str">
        <x:v>MySchool HCI Usability Analysis</x:v>
      </x:c>
    </x:row>
    <x:row r="2" ht="25.5" customHeight="1">
      <x:c r="A2" s="6" t="str">
        <x:v>Source: HCI_Usability_OURSCHOOL-1-1.pdf | 30 participants | 60 PDF pages</x:v>
      </x:c>
      <x:c r="B2" s="6" t="str">
        <x:v>Source: HCI_Usability_OURSCHOOL-1-1.pdf | 30 participants | 60 PDF pages</x:v>
      </x:c>
      <x:c r="C2" s="6" t="str">
        <x:v>Source: HCI_Usability_OURSCHOOL-1-1.pdf | 30 participants | 60 PDF pages</x:v>
      </x:c>
      <x:c r="D2" s="6" t="str">
        <x:v>Source: HCI_Usability_OURSCHOOL-1-1.pdf | 30 participants | 60 PDF pages</x:v>
      </x:c>
      <x:c r="E2" s="6" t="str">
        <x:v>Source: HCI_Usability_OURSCHOOL-1-1.pdf | 30 participants | 60 PDF pages</x:v>
      </x:c>
      <x:c r="F2" s="6" t="str">
        <x:v>Source: HCI_Usability_OURSCHOOL-1-1.pdf | 30 participants | 60 PDF pages</x:v>
      </x:c>
      <x:c r="G2" s="6" t="str">
        <x:v>Source: HCI_Usability_OURSCHOOL-1-1.pdf | 30 participants | 60 PDF pages</x:v>
      </x:c>
      <x:c r="H2" s="6" t="str">
        <x:v>Source: HCI_Usability_OURSCHOOL-1-1.pdf | 30 participants | 60 PDF pages</x:v>
      </x:c>
    </x:row>
    <x:row r="4">
      <x:c r="A4" s="11" t="str">
        <x:v>Metric</x:v>
      </x:c>
      <x:c r="B4" s="11" t="str">
        <x:v>Value</x:v>
      </x:c>
      <x:c r="D4" s="11" t="str">
        <x:v>Task</x:v>
      </x:c>
      <x:c r="E4" s="11" t="str">
        <x:v>Pass</x:v>
      </x:c>
      <x:c r="F4" s="11" t="str">
        <x:v>Assist</x:v>
      </x:c>
      <x:c r="G4" s="11" t="str">
        <x:v>Fail</x:v>
      </x:c>
      <x:c r="H4" s="11" t="str">
        <x:v>Pass Rate</x:v>
      </x:c>
      <x:c r="I4" s="11" t="str">
        <x:v>Avg Errors</x:v>
      </x:c>
    </x:row>
    <x:row r="5">
      <x:c r="A5" s="15" t="str">
        <x:v>Participants</x:v>
      </x:c>
      <x:c r="B5" s="15" t="n">
        <x:f>COUNTA(Participants!A3:A32)</x:f>
        <x:v>30</x:v>
      </x:c>
      <x:c r="D5" s="15" t="str">
        <x:v>View offered subjects</x:v>
      </x:c>
      <x:c r="E5" s="15" t="n">
        <x:f>COUNTIFS('Task Log'!$E$3:$E$302,$D5,'Task Log'!$F$3:$F$302,"Pass")</x:f>
        <x:v>15</x:v>
      </x:c>
      <x:c r="F5" s="15" t="n">
        <x:f>COUNTIFS('Task Log'!$E$3:$E$302,$D5,'Task Log'!$F$3:$F$302,"Assist")</x:f>
        <x:v>6</x:v>
      </x:c>
      <x:c r="G5" s="15" t="n">
        <x:f>COUNTIFS('Task Log'!$E$3:$E$302,$D5,'Task Log'!$F$3:$F$302,"Fail")</x:f>
        <x:v>9</x:v>
      </x:c>
      <x:c r="H5" s="13" t="n">
        <x:f>IFERROR(E5/SUM(E5:G5),0)</x:f>
        <x:v>0.5</x:v>
      </x:c>
      <x:c r="I5" s="14" t="n">
        <x:f>AVERAGEIF('Task Log'!$E$3:$E$302,$D5,'Task Log'!$G$3:$G$302)</x:f>
        <x:v>1.4333333333333333</x:v>
      </x:c>
    </x:row>
    <x:row r="6">
      <x:c r="A6" s="15" t="str">
        <x:v>Average SUS</x:v>
      </x:c>
      <x:c r="B6" s="12" t="n">
        <x:f>AVERAGE(Participants!G3:G32)</x:f>
        <x:v>48.5</x:v>
      </x:c>
      <x:c r="D6" s="15" t="str">
        <x:v>Navigate to Home page</x:v>
      </x:c>
      <x:c r="E6" s="15" t="n">
        <x:f>COUNTIFS('Task Log'!$E$3:$E$302,$D6,'Task Log'!$F$3:$F$302,"Pass")</x:f>
        <x:v>18</x:v>
      </x:c>
      <x:c r="F6" s="15" t="n">
        <x:f>COUNTIFS('Task Log'!$E$3:$E$302,$D6,'Task Log'!$F$3:$F$302,"Assist")</x:f>
        <x:v>7</x:v>
      </x:c>
      <x:c r="G6" s="15" t="n">
        <x:f>COUNTIFS('Task Log'!$E$3:$E$302,$D6,'Task Log'!$F$3:$F$302,"Fail")</x:f>
        <x:v>5</x:v>
      </x:c>
      <x:c r="H6" s="13" t="n">
        <x:f>IFERROR(E6/SUM(E6:G6),0)</x:f>
        <x:v>0.6</x:v>
      </x:c>
      <x:c r="I6" s="14" t="n">
        <x:f>AVERAGEIF('Task Log'!$E$3:$E$302,$D6,'Task Log'!$G$3:$G$302)</x:f>
        <x:v>1.7</x:v>
      </x:c>
    </x:row>
    <x:row r="7">
      <x:c r="A7" s="15" t="str">
        <x:v>Overall pass rate</x:v>
      </x:c>
      <x:c r="B7" s="13" t="n">
        <x:f>COUNTIF('Task Log'!F3:F302,"Pass")/COUNTA('Task Log'!F3:F302)</x:f>
        <x:v>0.6</x:v>
      </x:c>
      <x:c r="D7" s="15" t="str">
        <x:v>Login using credentials</x:v>
      </x:c>
      <x:c r="E7" s="15" t="n">
        <x:f>COUNTIFS('Task Log'!$E$3:$E$302,$D7,'Task Log'!$F$3:$F$302,"Pass")</x:f>
        <x:v>17</x:v>
      </x:c>
      <x:c r="F7" s="15" t="n">
        <x:f>COUNTIFS('Task Log'!$E$3:$E$302,$D7,'Task Log'!$F$3:$F$302,"Assist")</x:f>
        <x:v>7</x:v>
      </x:c>
      <x:c r="G7" s="15" t="n">
        <x:f>COUNTIFS('Task Log'!$E$3:$E$302,$D7,'Task Log'!$F$3:$F$302,"Fail")</x:f>
        <x:v>6</x:v>
      </x:c>
      <x:c r="H7" s="13" t="n">
        <x:f>IFERROR(E7/SUM(E7:G7),0)</x:f>
        <x:v>0.5666666666666667</x:v>
      </x:c>
      <x:c r="I7" s="14" t="n">
        <x:f>AVERAGEIF('Task Log'!$E$3:$E$302,$D7,'Task Log'!$G$3:$G$302)</x:f>
        <x:v>1.9333333333333333</x:v>
      </x:c>
    </x:row>
    <x:row r="8">
      <x:c r="A8" s="15" t="str">
        <x:v>Average task errors</x:v>
      </x:c>
      <x:c r="B8" s="14" t="n">
        <x:f>AVERAGE('Task Log'!G3:G302)</x:f>
        <x:v>1.5433333333333332</x:v>
      </x:c>
      <x:c r="D8" s="15" t="str">
        <x:v>Attempt logout</x:v>
      </x:c>
      <x:c r="E8" s="15" t="n">
        <x:f>COUNTIFS('Task Log'!$E$3:$E$302,$D8,'Task Log'!$F$3:$F$302,"Pass")</x:f>
        <x:v>20</x:v>
      </x:c>
      <x:c r="F8" s="15" t="n">
        <x:f>COUNTIFS('Task Log'!$E$3:$E$302,$D8,'Task Log'!$F$3:$F$302,"Assist")</x:f>
        <x:v>6</x:v>
      </x:c>
      <x:c r="G8" s="15" t="n">
        <x:f>COUNTIFS('Task Log'!$E$3:$E$302,$D8,'Task Log'!$F$3:$F$302,"Fail")</x:f>
        <x:v>4</x:v>
      </x:c>
      <x:c r="H8" s="13" t="n">
        <x:f>IFERROR(E8/SUM(E8:G8),0)</x:f>
        <x:v>0.6666666666666666</x:v>
      </x:c>
      <x:c r="I8" s="14" t="n">
        <x:f>AVERAGEIF('Task Log'!$E$3:$E$302,$D8,'Task Log'!$G$3:$G$302)</x:f>
        <x:v>1.7666666666666666</x:v>
      </x:c>
    </x:row>
    <x:row r="9">
      <x:c r="D9" s="15" t="str">
        <x:v>Return to login page</x:v>
      </x:c>
      <x:c r="E9" s="15" t="n">
        <x:f>COUNTIFS('Task Log'!$E$3:$E$302,$D9,'Task Log'!$F$3:$F$302,"Pass")</x:f>
        <x:v>17</x:v>
      </x:c>
      <x:c r="F9" s="15" t="n">
        <x:f>COUNTIFS('Task Log'!$E$3:$E$302,$D9,'Task Log'!$F$3:$F$302,"Assist")</x:f>
        <x:v>4</x:v>
      </x:c>
      <x:c r="G9" s="15" t="n">
        <x:f>COUNTIFS('Task Log'!$E$3:$E$302,$D9,'Task Log'!$F$3:$F$302,"Fail")</x:f>
        <x:v>9</x:v>
      </x:c>
      <x:c r="H9" s="13" t="n">
        <x:f>IFERROR(E9/SUM(E9:G9),0)</x:f>
        <x:v>0.5666666666666667</x:v>
      </x:c>
      <x:c r="I9" s="14" t="n">
        <x:f>AVERAGEIF('Task Log'!$E$3:$E$302,$D9,'Task Log'!$G$3:$G$302)</x:f>
        <x:v>1.1333333333333333</x:v>
      </x:c>
    </x:row>
    <x:row r="10">
      <x:c r="D10" s="15" t="str">
        <x:v>Login again</x:v>
      </x:c>
      <x:c r="E10" s="15" t="n">
        <x:f>COUNTIFS('Task Log'!$E$3:$E$302,$D10,'Task Log'!$F$3:$F$302,"Pass")</x:f>
        <x:v>17</x:v>
      </x:c>
      <x:c r="F10" s="15" t="n">
        <x:f>COUNTIFS('Task Log'!$E$3:$E$302,$D10,'Task Log'!$F$3:$F$302,"Assist")</x:f>
        <x:v>8</x:v>
      </x:c>
      <x:c r="G10" s="15" t="n">
        <x:f>COUNTIFS('Task Log'!$E$3:$E$302,$D10,'Task Log'!$F$3:$F$302,"Fail")</x:f>
        <x:v>5</x:v>
      </x:c>
      <x:c r="H10" s="13" t="n">
        <x:f>IFERROR(E10/SUM(E10:G10),0)</x:f>
        <x:v>0.5666666666666667</x:v>
      </x:c>
      <x:c r="I10" s="14" t="n">
        <x:f>AVERAGEIF('Task Log'!$E$3:$E$302,$D10,'Task Log'!$G$3:$G$302)</x:f>
        <x:v>1.6</x:v>
      </x:c>
    </x:row>
    <x:row r="11">
      <x:c r="A11" s="11" t="str">
        <x:v>Theme</x:v>
      </x:c>
      <x:c r="B11" s="11" t="str">
        <x:v>Mentions</x:v>
      </x:c>
      <x:c r="D11" s="15" t="str">
        <x:v>Open My Account</x:v>
      </x:c>
      <x:c r="E11" s="15" t="n">
        <x:f>COUNTIFS('Task Log'!$E$3:$E$302,$D11,'Task Log'!$F$3:$F$302,"Pass")</x:f>
        <x:v>16</x:v>
      </x:c>
      <x:c r="F11" s="15" t="n">
        <x:f>COUNTIFS('Task Log'!$E$3:$E$302,$D11,'Task Log'!$F$3:$F$302,"Assist")</x:f>
        <x:v>5</x:v>
      </x:c>
      <x:c r="G11" s="15" t="n">
        <x:f>COUNTIFS('Task Log'!$E$3:$E$302,$D11,'Task Log'!$F$3:$F$302,"Fail")</x:f>
        <x:v>9</x:v>
      </x:c>
      <x:c r="H11" s="13" t="n">
        <x:f>IFERROR(E11/SUM(E11:G11),0)</x:f>
        <x:v>0.5333333333333333</x:v>
      </x:c>
      <x:c r="I11" s="14" t="n">
        <x:f>AVERAGEIF('Task Log'!$E$3:$E$302,$D11,'Task Log'!$G$3:$G$302)</x:f>
        <x:v>1.3666666666666667</x:v>
      </x:c>
    </x:row>
    <x:row r="12">
      <x:c r="A12" s="15" t="str">
        <x:v>Mobile readability / small text</x:v>
      </x:c>
      <x:c r="B12" s="15" t="n">
        <x:v>96</x:v>
      </x:c>
      <x:c r="D12" s="15" t="str">
        <x:v>Find Offered Subjects</x:v>
      </x:c>
      <x:c r="E12" s="15" t="n">
        <x:f>COUNTIFS('Task Log'!$E$3:$E$302,$D12,'Task Log'!$F$3:$F$302,"Pass")</x:f>
        <x:v>17</x:v>
      </x:c>
      <x:c r="F12" s="15" t="n">
        <x:f>COUNTIFS('Task Log'!$E$3:$E$302,$D12,'Task Log'!$F$3:$F$302,"Assist")</x:f>
        <x:v>8</x:v>
      </x:c>
      <x:c r="G12" s="15" t="n">
        <x:f>COUNTIFS('Task Log'!$E$3:$E$302,$D12,'Task Log'!$F$3:$F$302,"Fail")</x:f>
        <x:v>5</x:v>
      </x:c>
      <x:c r="H12" s="13" t="n">
        <x:f>IFERROR(E12/SUM(E12:G12),0)</x:f>
        <x:v>0.5666666666666667</x:v>
      </x:c>
      <x:c r="I12" s="14" t="n">
        <x:f>AVERAGEIF('Task Log'!$E$3:$E$302,$D12,'Task Log'!$G$3:$G$302)</x:f>
        <x:v>1.6</x:v>
      </x:c>
    </x:row>
    <x:row r="13">
      <x:c r="A13" s="15" t="str">
        <x:v>Navigation confusion</x:v>
      </x:c>
      <x:c r="B13" s="15" t="n">
        <x:v>199</x:v>
      </x:c>
      <x:c r="D13" s="15" t="str">
        <x:v>Navigate Clearance</x:v>
      </x:c>
      <x:c r="E13" s="15" t="n">
        <x:f>COUNTIFS('Task Log'!$E$3:$E$302,$D13,'Task Log'!$F$3:$F$302,"Pass")</x:f>
        <x:v>24</x:v>
      </x:c>
      <x:c r="F13" s="15" t="n">
        <x:f>COUNTIFS('Task Log'!$E$3:$E$302,$D13,'Task Log'!$F$3:$F$302,"Assist")</x:f>
        <x:v>2</x:v>
      </x:c>
      <x:c r="G13" s="15" t="n">
        <x:f>COUNTIFS('Task Log'!$E$3:$E$302,$D13,'Task Log'!$F$3:$F$302,"Fail")</x:f>
        <x:v>4</x:v>
      </x:c>
      <x:c r="H13" s="13" t="n">
        <x:f>IFERROR(E13/SUM(E13:G13),0)</x:f>
        <x:v>0.8</x:v>
      </x:c>
      <x:c r="I13" s="14" t="n">
        <x:f>AVERAGEIF('Task Log'!$E$3:$E$302,$D13,'Task Log'!$G$3:$G$302)</x:f>
        <x:v>1.3666666666666667</x:v>
      </x:c>
    </x:row>
    <x:row r="14">
      <x:c r="A14" s="15" t="str">
        <x:v>Accidental logout</x:v>
      </x:c>
      <x:c r="B14" s="15" t="n">
        <x:v>51</x:v>
      </x:c>
      <x:c r="D14" s="15" t="str">
        <x:v>View account information</x:v>
      </x:c>
      <x:c r="E14" s="15" t="n">
        <x:f>COUNTIFS('Task Log'!$E$3:$E$302,$D14,'Task Log'!$F$3:$F$302,"Pass")</x:f>
        <x:v>19</x:v>
      </x:c>
      <x:c r="F14" s="15" t="n">
        <x:f>COUNTIFS('Task Log'!$E$3:$E$302,$D14,'Task Log'!$F$3:$F$302,"Assist")</x:f>
        <x:v>4</x:v>
      </x:c>
      <x:c r="G14" s="15" t="n">
        <x:f>COUNTIFS('Task Log'!$E$3:$E$302,$D14,'Task Log'!$F$3:$F$302,"Fail")</x:f>
        <x:v>7</x:v>
      </x:c>
      <x:c r="H14" s="13" t="n">
        <x:f>IFERROR(E14/SUM(E14:G14),0)</x:f>
        <x:v>0.6333333333333333</x:v>
      </x:c>
      <x:c r="I14" s="14" t="n">
        <x:f>AVERAGEIF('Task Log'!$E$3:$E$302,$D14,'Task Log'!$G$3:$G$302)</x:f>
        <x:v>1.5333333333333334</x:v>
      </x:c>
    </x:row>
    <x:row r="15">
      <x:c r="A15" s="15" t="str">
        <x:v>Mobile responsiveness</x:v>
      </x:c>
      <x:c r="B15" s="15" t="n">
        <x:v>26</x:v>
      </x:c>
    </x:row>
    <x:row r="16">
      <x:c r="A16" s="15" t="str">
        <x:v>Straightforward login</x:v>
      </x:c>
      <x:c r="B16" s="15" t="n">
        <x:v>5</x:v>
      </x:c>
    </x:row>
  </x:sheetData>
  <x:mergeCells>
    <x:mergeCell ref="A1:J1"/>
    <x:mergeCell ref="A2:H2"/>
  </x:mergeCells>
  <x:pageMargins left="0.7" right="0.7" top="0.75" bottom="0.75" header="0.3" footer="0.3"/>
  <x:drawing xmlns:r="http://schemas.openxmlformats.org/officeDocument/2006/relationships" r:id="Rfe906c86ff08436b"/>
  <x:tableParts count="2">
    <x:tablePart xmlns:r="http://schemas.openxmlformats.org/officeDocument/2006/relationships" r:id="Re334b6367f6f4486"/>
    <x:tablePart xmlns:r="http://schemas.openxmlformats.org/officeDocument/2006/relationships" r:id="R7b7600d8c2e444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1.4399995803833" hidden="0" customWidth="1"/>
    <x:col min="6" max="6" width="14.130000114440918" hidden="0" customWidth="1"/>
    <x:col min="7" max="7" width="12.109999656677246" hidden="0" customWidth="1"/>
    <x:col min="8" max="8" width="12.109999656677246" hidden="0" customWidth="1"/>
    <x:col min="9" max="9" width="12.109999656677246" hidden="0" customWidth="1"/>
    <x:col min="10" max="10" width="12.109999656677246" hidden="0" customWidth="1"/>
    <x:col min="11" max="11" width="14.130000114440918" hidden="0" customWidth="1"/>
  </x:cols>
  <x:sheetData>
    <x:row r="1" ht="31.5" customHeight="1">
      <x:c r="A1" s="3" t="str">
        <x:v>Participant Session Details</x:v>
      </x:c>
      <x:c r="B1" s="3" t="str">
        <x:v>Participant Session Details</x:v>
      </x:c>
      <x:c r="C1" s="3" t="str">
        <x:v>Participant Session Details</x:v>
      </x:c>
      <x:c r="D1" s="3" t="str">
        <x:v>Participant Session Details</x:v>
      </x:c>
      <x:c r="E1" s="3" t="str">
        <x:v>Participant Session Details</x:v>
      </x:c>
      <x:c r="F1" s="3" t="str">
        <x:v>Participant Session Details</x:v>
      </x:c>
      <x:c r="G1" s="3" t="str">
        <x:v>Participant Session Details</x:v>
      </x:c>
      <x:c r="H1" s="3" t="str">
        <x:v>Participant Session Details</x:v>
      </x:c>
      <x:c r="I1" s="3" t="str">
        <x:v>Participant Session Details</x:v>
      </x:c>
      <x:c r="J1" s="3" t="str">
        <x:v>Participant Session Details</x:v>
      </x:c>
      <x:c r="K1" s="3" t="str">
        <x:v>Participant Session Details</x:v>
      </x:c>
    </x:row>
    <x:row r="2">
      <x:c r="A2" s="11" t="str">
        <x:v>Participant</x:v>
      </x:c>
      <x:c r="B2" s="11" t="str">
        <x:v>Platform</x:v>
      </x:c>
      <x:c r="C2" s="11" t="str">
        <x:v>Version</x:v>
      </x:c>
      <x:c r="D2" s="11" t="str">
        <x:v>Device</x:v>
      </x:c>
      <x:c r="E2" s="11" t="str">
        <x:v>Gender</x:v>
      </x:c>
      <x:c r="F2" s="11" t="str">
        <x:v>Duration</x:v>
      </x:c>
      <x:c r="G2" s="11" t="str">
        <x:v>SUS Score</x:v>
      </x:c>
      <x:c r="H2" s="11" t="str">
        <x:v>Pass Tasks</x:v>
      </x:c>
      <x:c r="I2" s="11" t="str">
        <x:v>Assist Tasks</x:v>
      </x:c>
      <x:c r="J2" s="11" t="str">
        <x:v>Fail Tasks</x:v>
      </x:c>
      <x:c r="K2" s="11" t="str">
        <x:v>Total Errors</x:v>
      </x:c>
    </x:row>
    <x:row r="3">
      <x:c r="A3" t="n">
        <x:v>1</x:v>
      </x:c>
      <x:c r="B3" t="str">
        <x:v>MySchool</x:v>
      </x:c>
      <x:c r="C3" t="str">
        <x:v>Device Used Mobile</x:v>
      </x:c>
      <x:c r="D3" t="str">
        <x:v>Mobile</x:v>
      </x:c>
      <x:c r="E3" t="str">
        <x:v>Female</x:v>
      </x:c>
      <x:c r="F3" t="str">
        <x:v>00:15:17</x:v>
      </x:c>
      <x:c r="G3" s="12" t="n">
        <x:v>40</x:v>
      </x:c>
      <x:c r="H3" t="n">
        <x:v>6</x:v>
      </x:c>
      <x:c r="I3" t="n">
        <x:v>1</x:v>
      </x:c>
      <x:c r="J3" t="n">
        <x:v>3</x:v>
      </x:c>
      <x:c r="K3" t="n">
        <x:v>16</x:v>
      </x:c>
    </x:row>
    <x:row r="4">
      <x:c r="A4" t="n">
        <x:v>2</x:v>
      </x:c>
      <x:c r="B4" t="str">
        <x:v>MySchool</x:v>
      </x:c>
      <x:c r="C4" t="str">
        <x:v>Original</x:v>
      </x:c>
      <x:c r="D4" t="str">
        <x:v>Computer</x:v>
      </x:c>
      <x:c r="E4" t="str">
        <x:v>Male</x:v>
      </x:c>
      <x:c r="F4" t="str">
        <x:v>00:10:41</x:v>
      </x:c>
      <x:c r="G4" s="12" t="n">
        <x:v>35</x:v>
      </x:c>
      <x:c r="H4" t="n">
        <x:v>5</x:v>
      </x:c>
      <x:c r="I4" t="n">
        <x:v>3</x:v>
      </x:c>
      <x:c r="J4" t="n">
        <x:v>2</x:v>
      </x:c>
      <x:c r="K4" t="n">
        <x:v>22</x:v>
      </x:c>
    </x:row>
    <x:row r="5">
      <x:c r="A5" t="n">
        <x:v>3</x:v>
      </x:c>
      <x:c r="B5" t="str">
        <x:v>MySchool</x:v>
      </x:c>
      <x:c r="C5" t="str">
        <x:v>Original</x:v>
      </x:c>
      <x:c r="D5" t="str">
        <x:v>Computer</x:v>
      </x:c>
      <x:c r="E5" t="str">
        <x:v>Female</x:v>
      </x:c>
      <x:c r="F5" t="str">
        <x:v>00:05:05</x:v>
      </x:c>
      <x:c r="G5" s="12" t="n">
        <x:v>57.5</x:v>
      </x:c>
      <x:c r="H5" t="n">
        <x:v>6</x:v>
      </x:c>
      <x:c r="I5" t="n">
        <x:v>3</x:v>
      </x:c>
      <x:c r="J5" t="n">
        <x:v>1</x:v>
      </x:c>
      <x:c r="K5" t="n">
        <x:v>17</x:v>
      </x:c>
    </x:row>
    <x:row r="6">
      <x:c r="A6" t="n">
        <x:v>4</x:v>
      </x:c>
      <x:c r="B6" t="str">
        <x:v>MySchool</x:v>
      </x:c>
      <x:c r="C6" t="str">
        <x:v>Device Used Computer</x:v>
      </x:c>
      <x:c r="D6" t="str">
        <x:v>Computer</x:v>
      </x:c>
      <x:c r="E6" t="str">
        <x:v>Male</x:v>
      </x:c>
      <x:c r="F6" t="str">
        <x:v>00:08:14</x:v>
      </x:c>
      <x:c r="G6" s="12" t="n">
        <x:v>57.5</x:v>
      </x:c>
      <x:c r="H6" t="n">
        <x:v>8</x:v>
      </x:c>
      <x:c r="I6" t="n">
        <x:v>0</x:v>
      </x:c>
      <x:c r="J6" t="n">
        <x:v>2</x:v>
      </x:c>
      <x:c r="K6" t="n">
        <x:v>9</x:v>
      </x:c>
    </x:row>
    <x:row r="7">
      <x:c r="A7" t="n">
        <x:v>5</x:v>
      </x:c>
      <x:c r="B7" t="str">
        <x:v>MySchool</x:v>
      </x:c>
      <x:c r="C7" t="str">
        <x:v>Device Used Mobile</x:v>
      </x:c>
      <x:c r="D7" t="str">
        <x:v>Mobile</x:v>
      </x:c>
      <x:c r="E7" t="str">
        <x:v>Female</x:v>
      </x:c>
      <x:c r="F7" t="str">
        <x:v>00:06:05</x:v>
      </x:c>
      <x:c r="G7" s="12" t="n">
        <x:v>52.5</x:v>
      </x:c>
      <x:c r="H7" t="n">
        <x:v>5</x:v>
      </x:c>
      <x:c r="I7" t="n">
        <x:v>5</x:v>
      </x:c>
      <x:c r="J7" t="n">
        <x:v>0</x:v>
      </x:c>
      <x:c r="K7" t="n">
        <x:v>15</x:v>
      </x:c>
    </x:row>
    <x:row r="8">
      <x:c r="A8" t="n">
        <x:v>6</x:v>
      </x:c>
      <x:c r="B8" t="str">
        <x:v>MySchool</x:v>
      </x:c>
      <x:c r="C8" t="str">
        <x:v>Original</x:v>
      </x:c>
      <x:c r="D8" t="str">
        <x:v>Computer</x:v>
      </x:c>
      <x:c r="E8" t="str">
        <x:v>Female</x:v>
      </x:c>
      <x:c r="F8" t="str">
        <x:v>00:12:39</x:v>
      </x:c>
      <x:c r="G8" s="12" t="n">
        <x:v>45</x:v>
      </x:c>
      <x:c r="H8" t="n">
        <x:v>6</x:v>
      </x:c>
      <x:c r="I8" t="n">
        <x:v>2</x:v>
      </x:c>
      <x:c r="J8" t="n">
        <x:v>2</x:v>
      </x:c>
      <x:c r="K8" t="n">
        <x:v>21</x:v>
      </x:c>
    </x:row>
    <x:row r="9">
      <x:c r="A9" t="n">
        <x:v>7</x:v>
      </x:c>
      <x:c r="B9" t="str">
        <x:v>MySchool</x:v>
      </x:c>
      <x:c r="C9" t="str">
        <x:v>Device Used Mobile</x:v>
      </x:c>
      <x:c r="D9" t="str">
        <x:v>Mobile</x:v>
      </x:c>
      <x:c r="E9" t="str">
        <x:v>Male</x:v>
      </x:c>
      <x:c r="F9" t="str">
        <x:v>00:13:14</x:v>
      </x:c>
      <x:c r="G9" s="12" t="n">
        <x:v>50</x:v>
      </x:c>
      <x:c r="H9" t="n">
        <x:v>6</x:v>
      </x:c>
      <x:c r="I9" t="n">
        <x:v>2</x:v>
      </x:c>
      <x:c r="J9" t="n">
        <x:v>2</x:v>
      </x:c>
      <x:c r="K9" t="n">
        <x:v>19</x:v>
      </x:c>
    </x:row>
    <x:row r="10">
      <x:c r="A10" t="n">
        <x:v>8</x:v>
      </x:c>
      <x:c r="B10" t="str">
        <x:v>MySchool</x:v>
      </x:c>
      <x:c r="C10" t="str">
        <x:v>Device Used Computer</x:v>
      </x:c>
      <x:c r="D10" t="str">
        <x:v>Computer</x:v>
      </x:c>
      <x:c r="E10" t="str">
        <x:v>Female</x:v>
      </x:c>
      <x:c r="F10" t="str">
        <x:v>00:17:27</x:v>
      </x:c>
      <x:c r="G10" s="12" t="n">
        <x:v>60</x:v>
      </x:c>
      <x:c r="H10" t="n">
        <x:v>7</x:v>
      </x:c>
      <x:c r="I10" t="n">
        <x:v>1</x:v>
      </x:c>
      <x:c r="J10" t="n">
        <x:v>2</x:v>
      </x:c>
      <x:c r="K10" t="n">
        <x:v>14</x:v>
      </x:c>
    </x:row>
    <x:row r="11">
      <x:c r="A11" t="n">
        <x:v>9</x:v>
      </x:c>
      <x:c r="B11" t="str">
        <x:v>MySchool</x:v>
      </x:c>
      <x:c r="C11" t="str">
        <x:v>Device Used Computer</x:v>
      </x:c>
      <x:c r="D11" t="str">
        <x:v>Computer</x:v>
      </x:c>
      <x:c r="E11" t="str">
        <x:v>Male</x:v>
      </x:c>
      <x:c r="F11" t="str">
        <x:v>00:05:20</x:v>
      </x:c>
      <x:c r="G11" s="12" t="n">
        <x:v>42.5</x:v>
      </x:c>
      <x:c r="H11" t="n">
        <x:v>6</x:v>
      </x:c>
      <x:c r="I11" t="n">
        <x:v>1</x:v>
      </x:c>
      <x:c r="J11" t="n">
        <x:v>3</x:v>
      </x:c>
      <x:c r="K11" t="n">
        <x:v>13</x:v>
      </x:c>
    </x:row>
    <x:row r="12">
      <x:c r="A12" t="n">
        <x:v>10</x:v>
      </x:c>
      <x:c r="B12" t="str">
        <x:v>MySchool</x:v>
      </x:c>
      <x:c r="C12" t="str">
        <x:v>Device Used Mobile</x:v>
      </x:c>
      <x:c r="D12" t="str">
        <x:v>Mobile</x:v>
      </x:c>
      <x:c r="E12" t="str">
        <x:v>Female</x:v>
      </x:c>
      <x:c r="F12" t="str">
        <x:v>00:15:36</x:v>
      </x:c>
      <x:c r="G12" s="12" t="n">
        <x:v>40</x:v>
      </x:c>
      <x:c r="H12" t="n">
        <x:v>7</x:v>
      </x:c>
      <x:c r="I12" t="n">
        <x:v>1</x:v>
      </x:c>
      <x:c r="J12" t="n">
        <x:v>2</x:v>
      </x:c>
      <x:c r="K12" t="n">
        <x:v>10</x:v>
      </x:c>
    </x:row>
    <x:row r="13">
      <x:c r="A13" t="n">
        <x:v>11</x:v>
      </x:c>
      <x:c r="B13" t="str">
        <x:v>MySchool</x:v>
      </x:c>
      <x:c r="C13" t="str">
        <x:v>Device Used Computer</x:v>
      </x:c>
      <x:c r="D13" t="str">
        <x:v>Computer</x:v>
      </x:c>
      <x:c r="E13" t="str">
        <x:v>Male</x:v>
      </x:c>
      <x:c r="F13" t="str">
        <x:v>00:05:22</x:v>
      </x:c>
      <x:c r="G13" s="12" t="n">
        <x:v>55</x:v>
      </x:c>
      <x:c r="H13" t="n">
        <x:v>4</x:v>
      </x:c>
      <x:c r="I13" t="n">
        <x:v>3</x:v>
      </x:c>
      <x:c r="J13" t="n">
        <x:v>3</x:v>
      </x:c>
      <x:c r="K13" t="n">
        <x:v>14</x:v>
      </x:c>
    </x:row>
    <x:row r="14">
      <x:c r="A14" t="n">
        <x:v>12</x:v>
      </x:c>
      <x:c r="B14" t="str">
        <x:v>MySchool</x:v>
      </x:c>
      <x:c r="C14" t="str">
        <x:v>Device Used Mobile</x:v>
      </x:c>
      <x:c r="D14" t="str">
        <x:v>Mobile</x:v>
      </x:c>
      <x:c r="E14" t="str">
        <x:v>Female</x:v>
      </x:c>
      <x:c r="F14" t="str">
        <x:v>00:06:30</x:v>
      </x:c>
      <x:c r="G14" s="12" t="n">
        <x:v>60</x:v>
      </x:c>
      <x:c r="H14" t="n">
        <x:v>6</x:v>
      </x:c>
      <x:c r="I14" t="n">
        <x:v>3</x:v>
      </x:c>
      <x:c r="J14" t="n">
        <x:v>1</x:v>
      </x:c>
      <x:c r="K14" t="n">
        <x:v>19</x:v>
      </x:c>
    </x:row>
    <x:row r="15">
      <x:c r="A15" t="n">
        <x:v>13</x:v>
      </x:c>
      <x:c r="B15" t="str">
        <x:v>MySchool</x:v>
      </x:c>
      <x:c r="C15" t="str">
        <x:v>Original</x:v>
      </x:c>
      <x:c r="D15" t="str">
        <x:v>Mobile</x:v>
      </x:c>
      <x:c r="E15" t="str">
        <x:v>Male</x:v>
      </x:c>
      <x:c r="F15" t="str">
        <x:v>00:06:37</x:v>
      </x:c>
      <x:c r="G15" s="12" t="n">
        <x:v>45</x:v>
      </x:c>
      <x:c r="H15" t="n">
        <x:v>7</x:v>
      </x:c>
      <x:c r="I15" t="n">
        <x:v>0</x:v>
      </x:c>
      <x:c r="J15" t="n">
        <x:v>3</x:v>
      </x:c>
      <x:c r="K15" t="n">
        <x:v>14</x:v>
      </x:c>
    </x:row>
    <x:row r="16">
      <x:c r="A16" t="n">
        <x:v>14</x:v>
      </x:c>
      <x:c r="B16" t="str">
        <x:v>MySchool</x:v>
      </x:c>
      <x:c r="C16" t="str">
        <x:v>Original</x:v>
      </x:c>
      <x:c r="D16" t="str">
        <x:v>Mobile</x:v>
      </x:c>
      <x:c r="E16" t="str">
        <x:v>Female</x:v>
      </x:c>
      <x:c r="F16" t="str">
        <x:v>00:13:51</x:v>
      </x:c>
      <x:c r="G16" s="12" t="n">
        <x:v>40</x:v>
      </x:c>
      <x:c r="H16" t="n">
        <x:v>6</x:v>
      </x:c>
      <x:c r="I16" t="n">
        <x:v>2</x:v>
      </x:c>
      <x:c r="J16" t="n">
        <x:v>2</x:v>
      </x:c>
      <x:c r="K16" t="n">
        <x:v>17</x:v>
      </x:c>
    </x:row>
    <x:row r="17">
      <x:c r="A17" t="n">
        <x:v>15</x:v>
      </x:c>
      <x:c r="B17" t="str">
        <x:v>MySchool</x:v>
      </x:c>
      <x:c r="C17" t="str">
        <x:v>Original</x:v>
      </x:c>
      <x:c r="D17" t="str">
        <x:v>Computer</x:v>
      </x:c>
      <x:c r="E17" t="str">
        <x:v>Male</x:v>
      </x:c>
      <x:c r="F17" t="str">
        <x:v>00:07:36</x:v>
      </x:c>
      <x:c r="G17" s="12" t="n">
        <x:v>55</x:v>
      </x:c>
      <x:c r="H17" t="n">
        <x:v>5</x:v>
      </x:c>
      <x:c r="I17" t="n">
        <x:v>2</x:v>
      </x:c>
      <x:c r="J17" t="n">
        <x:v>3</x:v>
      </x:c>
      <x:c r="K17" t="n">
        <x:v>11</x:v>
      </x:c>
    </x:row>
    <x:row r="18">
      <x:c r="A18" t="n">
        <x:v>16</x:v>
      </x:c>
      <x:c r="B18" t="str">
        <x:v>MySchool</x:v>
      </x:c>
      <x:c r="C18" t="str">
        <x:v>Device Used Mobile</x:v>
      </x:c>
      <x:c r="D18" t="str">
        <x:v>Mobile</x:v>
      </x:c>
      <x:c r="E18" t="str">
        <x:v>Female</x:v>
      </x:c>
      <x:c r="F18" t="str">
        <x:v>00:16:09</x:v>
      </x:c>
      <x:c r="G18" s="12" t="n">
        <x:v>47.5</x:v>
      </x:c>
      <x:c r="H18" t="n">
        <x:v>4</x:v>
      </x:c>
      <x:c r="I18" t="n">
        <x:v>4</x:v>
      </x:c>
      <x:c r="J18" t="n">
        <x:v>2</x:v>
      </x:c>
      <x:c r="K18" t="n">
        <x:v>21</x:v>
      </x:c>
    </x:row>
    <x:row r="19">
      <x:c r="A19" t="n">
        <x:v>17</x:v>
      </x:c>
      <x:c r="B19" t="str">
        <x:v>MySchool</x:v>
      </x:c>
      <x:c r="C19" t="str">
        <x:v>Original</x:v>
      </x:c>
      <x:c r="D19" t="str">
        <x:v>Computer</x:v>
      </x:c>
      <x:c r="E19" t="str">
        <x:v>Female</x:v>
      </x:c>
      <x:c r="F19" t="str">
        <x:v>00:10:05</x:v>
      </x:c>
      <x:c r="G19" s="12" t="n">
        <x:v>55</x:v>
      </x:c>
      <x:c r="H19" t="n">
        <x:v>6</x:v>
      </x:c>
      <x:c r="I19" t="n">
        <x:v>2</x:v>
      </x:c>
      <x:c r="J19" t="n">
        <x:v>2</x:v>
      </x:c>
      <x:c r="K19" t="n">
        <x:v>20</x:v>
      </x:c>
    </x:row>
    <x:row r="20">
      <x:c r="A20" t="n">
        <x:v>18</x:v>
      </x:c>
      <x:c r="B20" t="str">
        <x:v>MySchool</x:v>
      </x:c>
      <x:c r="C20" t="str">
        <x:v>Original</x:v>
      </x:c>
      <x:c r="D20" t="str">
        <x:v>Computer</x:v>
      </x:c>
      <x:c r="E20" t="str">
        <x:v>Female</x:v>
      </x:c>
      <x:c r="F20" t="str">
        <x:v>00:13:35</x:v>
      </x:c>
      <x:c r="G20" s="12" t="n">
        <x:v>47.5</x:v>
      </x:c>
      <x:c r="H20" t="n">
        <x:v>6</x:v>
      </x:c>
      <x:c r="I20" t="n">
        <x:v>2</x:v>
      </x:c>
      <x:c r="J20" t="n">
        <x:v>2</x:v>
      </x:c>
      <x:c r="K20" t="n">
        <x:v>11</x:v>
      </x:c>
    </x:row>
    <x:row r="21">
      <x:c r="A21" t="n">
        <x:v>19</x:v>
      </x:c>
      <x:c r="B21" t="str">
        <x:v>MySchool</x:v>
      </x:c>
      <x:c r="C21" t="str">
        <x:v>Original</x:v>
      </x:c>
      <x:c r="D21" t="str">
        <x:v>Mobile</x:v>
      </x:c>
      <x:c r="E21" t="str">
        <x:v>Male</x:v>
      </x:c>
      <x:c r="F21" t="str">
        <x:v>00:10:37</x:v>
      </x:c>
      <x:c r="G21" s="12" t="n">
        <x:v>42.5</x:v>
      </x:c>
      <x:c r="H21" t="n">
        <x:v>6</x:v>
      </x:c>
      <x:c r="I21" t="n">
        <x:v>3</x:v>
      </x:c>
      <x:c r="J21" t="n">
        <x:v>1</x:v>
      </x:c>
      <x:c r="K21" t="n">
        <x:v>12</x:v>
      </x:c>
    </x:row>
    <x:row r="22">
      <x:c r="A22" t="n">
        <x:v>20</x:v>
      </x:c>
      <x:c r="B22" t="str">
        <x:v>MySchool</x:v>
      </x:c>
      <x:c r="C22" t="str">
        <x:v>Original</x:v>
      </x:c>
      <x:c r="D22" t="str">
        <x:v>Computer</x:v>
      </x:c>
      <x:c r="E22" t="str">
        <x:v>Female</x:v>
      </x:c>
      <x:c r="F22" t="str">
        <x:v>00:07:33</x:v>
      </x:c>
      <x:c r="G22" s="12" t="n">
        <x:v>60</x:v>
      </x:c>
      <x:c r="H22" t="n">
        <x:v>6</x:v>
      </x:c>
      <x:c r="I22" t="n">
        <x:v>1</x:v>
      </x:c>
      <x:c r="J22" t="n">
        <x:v>3</x:v>
      </x:c>
      <x:c r="K22" t="n">
        <x:v>16</x:v>
      </x:c>
    </x:row>
    <x:row r="23">
      <x:c r="A23" t="n">
        <x:v>21</x:v>
      </x:c>
      <x:c r="B23" t="str">
        <x:v>MySchool</x:v>
      </x:c>
      <x:c r="C23" t="str">
        <x:v>Device Used Computer</x:v>
      </x:c>
      <x:c r="D23" t="str">
        <x:v>Computer</x:v>
      </x:c>
      <x:c r="E23" t="str">
        <x:v>Male</x:v>
      </x:c>
      <x:c r="F23" t="str">
        <x:v>00:17:32</x:v>
      </x:c>
      <x:c r="G23" s="12" t="n">
        <x:v>50</x:v>
      </x:c>
      <x:c r="H23" t="n">
        <x:v>5</x:v>
      </x:c>
      <x:c r="I23" t="n">
        <x:v>2</x:v>
      </x:c>
      <x:c r="J23" t="n">
        <x:v>3</x:v>
      </x:c>
      <x:c r="K23" t="n">
        <x:v>17</x:v>
      </x:c>
    </x:row>
    <x:row r="24">
      <x:c r="A24" t="n">
        <x:v>22</x:v>
      </x:c>
      <x:c r="B24" t="str">
        <x:v>MySchool</x:v>
      </x:c>
      <x:c r="C24" t="str">
        <x:v>Device Used Computer</x:v>
      </x:c>
      <x:c r="D24" t="str">
        <x:v>Computer</x:v>
      </x:c>
      <x:c r="E24" t="str">
        <x:v>Female</x:v>
      </x:c>
      <x:c r="F24" t="str">
        <x:v>00:12:36</x:v>
      </x:c>
      <x:c r="G24" s="12" t="n">
        <x:v>42.5</x:v>
      </x:c>
      <x:c r="H24" t="n">
        <x:v>5</x:v>
      </x:c>
      <x:c r="I24" t="n">
        <x:v>0</x:v>
      </x:c>
      <x:c r="J24" t="n">
        <x:v>5</x:v>
      </x:c>
      <x:c r="K24" t="n">
        <x:v>13</x:v>
      </x:c>
    </x:row>
    <x:row r="25">
      <x:c r="A25" t="n">
        <x:v>23</x:v>
      </x:c>
      <x:c r="B25" t="str">
        <x:v>MySchool</x:v>
      </x:c>
      <x:c r="C25" t="str">
        <x:v>Device Used Computer</x:v>
      </x:c>
      <x:c r="D25" t="str">
        <x:v>Computer</x:v>
      </x:c>
      <x:c r="E25" t="str">
        <x:v>Female</x:v>
      </x:c>
      <x:c r="F25" t="str">
        <x:v>00:17:56</x:v>
      </x:c>
      <x:c r="G25" s="12" t="n">
        <x:v>50</x:v>
      </x:c>
      <x:c r="H25" t="n">
        <x:v>7</x:v>
      </x:c>
      <x:c r="I25" t="n">
        <x:v>2</x:v>
      </x:c>
      <x:c r="J25" t="n">
        <x:v>1</x:v>
      </x:c>
      <x:c r="K25" t="n">
        <x:v>17</x:v>
      </x:c>
    </x:row>
    <x:row r="26">
      <x:c r="A26" t="n">
        <x:v>24</x:v>
      </x:c>
      <x:c r="B26" t="str">
        <x:v>MySchool</x:v>
      </x:c>
      <x:c r="C26" t="str">
        <x:v>Device Used Computer</x:v>
      </x:c>
      <x:c r="D26" t="str">
        <x:v>Computer</x:v>
      </x:c>
      <x:c r="E26" t="str">
        <x:v>Male</x:v>
      </x:c>
      <x:c r="F26" t="str">
        <x:v>00:09:51</x:v>
      </x:c>
      <x:c r="G26" s="12" t="n">
        <x:v>52.5</x:v>
      </x:c>
      <x:c r="H26" t="n">
        <x:v>9</x:v>
      </x:c>
      <x:c r="I26" t="n">
        <x:v>0</x:v>
      </x:c>
      <x:c r="J26" t="n">
        <x:v>1</x:v>
      </x:c>
      <x:c r="K26" t="n">
        <x:v>21</x:v>
      </x:c>
    </x:row>
    <x:row r="27">
      <x:c r="A27" t="n">
        <x:v>25</x:v>
      </x:c>
      <x:c r="B27" t="str">
        <x:v>MySchool</x:v>
      </x:c>
      <x:c r="C27" t="str">
        <x:v>Device Used Computer</x:v>
      </x:c>
      <x:c r="D27" t="str">
        <x:v>Computer</x:v>
      </x:c>
      <x:c r="E27" t="str">
        <x:v>Female</x:v>
      </x:c>
      <x:c r="F27" t="str">
        <x:v>00:15:02</x:v>
      </x:c>
      <x:c r="G27" s="12" t="n">
        <x:v>35</x:v>
      </x:c>
      <x:c r="H27" t="n">
        <x:v>6</x:v>
      </x:c>
      <x:c r="I27" t="n">
        <x:v>3</x:v>
      </x:c>
      <x:c r="J27" t="n">
        <x:v>1</x:v>
      </x:c>
      <x:c r="K27" t="n">
        <x:v>13</x:v>
      </x:c>
    </x:row>
    <x:row r="28">
      <x:c r="A28" t="n">
        <x:v>26</x:v>
      </x:c>
      <x:c r="B28" t="str">
        <x:v>MySchool</x:v>
      </x:c>
      <x:c r="C28" t="str">
        <x:v>Device Used Computer</x:v>
      </x:c>
      <x:c r="D28" t="str">
        <x:v>Computer</x:v>
      </x:c>
      <x:c r="E28" t="str">
        <x:v>Female</x:v>
      </x:c>
      <x:c r="F28" t="str">
        <x:v>00:17:42</x:v>
      </x:c>
      <x:c r="G28" s="12" t="n">
        <x:v>35</x:v>
      </x:c>
      <x:c r="H28" t="n">
        <x:v>5</x:v>
      </x:c>
      <x:c r="I28" t="n">
        <x:v>2</x:v>
      </x:c>
      <x:c r="J28" t="n">
        <x:v>3</x:v>
      </x:c>
      <x:c r="K28" t="n">
        <x:v>17</x:v>
      </x:c>
    </x:row>
    <x:row r="29">
      <x:c r="A29" t="n">
        <x:v>27</x:v>
      </x:c>
      <x:c r="B29" t="str">
        <x:v>MySchool</x:v>
      </x:c>
      <x:c r="C29" t="str">
        <x:v>Original</x:v>
      </x:c>
      <x:c r="D29" t="str">
        <x:v>Mobile</x:v>
      </x:c>
      <x:c r="E29" t="str">
        <x:v>Male</x:v>
      </x:c>
      <x:c r="F29" t="str">
        <x:v>00:14:20</x:v>
      </x:c>
      <x:c r="G29" s="12" t="n">
        <x:v>47.5</x:v>
      </x:c>
      <x:c r="H29" t="n">
        <x:v>5</x:v>
      </x:c>
      <x:c r="I29" t="n">
        <x:v>2</x:v>
      </x:c>
      <x:c r="J29" t="n">
        <x:v>3</x:v>
      </x:c>
      <x:c r="K29" t="n">
        <x:v>15</x:v>
      </x:c>
    </x:row>
    <x:row r="30">
      <x:c r="A30" t="n">
        <x:v>28</x:v>
      </x:c>
      <x:c r="B30" t="str">
        <x:v>MySchool</x:v>
      </x:c>
      <x:c r="C30" t="str">
        <x:v>Original</x:v>
      </x:c>
      <x:c r="D30" t="str">
        <x:v>Computer</x:v>
      </x:c>
      <x:c r="E30" t="str">
        <x:v>Male</x:v>
      </x:c>
      <x:c r="F30" t="str">
        <x:v>00:07:24</x:v>
      </x:c>
      <x:c r="G30" s="12" t="n">
        <x:v>45</x:v>
      </x:c>
      <x:c r="H30" t="n">
        <x:v>7</x:v>
      </x:c>
      <x:c r="I30" t="n">
        <x:v>2</x:v>
      </x:c>
      <x:c r="J30" t="n">
        <x:v>1</x:v>
      </x:c>
      <x:c r="K30" t="n">
        <x:v>14</x:v>
      </x:c>
    </x:row>
    <x:row r="31">
      <x:c r="A31" t="n">
        <x:v>29</x:v>
      </x:c>
      <x:c r="B31" t="str">
        <x:v>MySchool</x:v>
      </x:c>
      <x:c r="C31" t="str">
        <x:v>Device Used Mobile</x:v>
      </x:c>
      <x:c r="D31" t="str">
        <x:v>Mobile</x:v>
      </x:c>
      <x:c r="E31" t="str">
        <x:v>Male</x:v>
      </x:c>
      <x:c r="F31" t="str">
        <x:v>00:10:39</x:v>
      </x:c>
      <x:c r="G31" s="12" t="n">
        <x:v>57.5</x:v>
      </x:c>
      <x:c r="H31" t="n">
        <x:v>8</x:v>
      </x:c>
      <x:c r="I31" t="n">
        <x:v>2</x:v>
      </x:c>
      <x:c r="J31" t="n">
        <x:v>0</x:v>
      </x:c>
      <x:c r="K31" t="n">
        <x:v>10</x:v>
      </x:c>
    </x:row>
    <x:row r="32">
      <x:c r="A32" t="n">
        <x:v>30</x:v>
      </x:c>
      <x:c r="B32" t="str">
        <x:v>MySchool</x:v>
      </x:c>
      <x:c r="C32" t="str">
        <x:v>Original</x:v>
      </x:c>
      <x:c r="D32" t="str">
        <x:v>Computer</x:v>
      </x:c>
      <x:c r="E32" t="str">
        <x:v>Female</x:v>
      </x:c>
      <x:c r="F32" t="str">
        <x:v>00:14:31</x:v>
      </x:c>
      <x:c r="G32" s="12" t="n">
        <x:v>52.5</x:v>
      </x:c>
      <x:c r="H32" t="n">
        <x:v>5</x:v>
      </x:c>
      <x:c r="I32" t="n">
        <x:v>1</x:v>
      </x:c>
      <x:c r="J32" t="n">
        <x:v>4</x:v>
      </x:c>
      <x:c r="K32" t="n">
        <x:v>15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0a65822be78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4.130000114440918" hidden="0" customWidth="1"/>
    <x:col min="3" max="3" width="11.4399995803833" hidden="0" customWidth="1"/>
    <x:col min="4" max="4" width="12.109999656677246" hidden="0" customWidth="1"/>
    <x:col min="5" max="5" width="24.899999618530273" hidden="0" customWidth="1"/>
    <x:col min="6" max="6" width="11.4399995803833" hidden="0" customWidth="1"/>
    <x:col min="7" max="7" width="10.770000457763672" hidden="0" customWidth="1"/>
    <x:col min="8" max="8" width="43.7400016784668" hidden="0" customWidth="1"/>
  </x:cols>
  <x:sheetData>
    <x:row r="1" ht="31.5" customHeight="1">
      <x:c r="A1" s="3" t="str">
        <x:v>Task Performance Log</x:v>
      </x:c>
      <x:c r="B1" s="3" t="str">
        <x:v>Task Performance Log</x:v>
      </x:c>
      <x:c r="C1" s="3" t="str">
        <x:v>Task Performance Log</x:v>
      </x:c>
      <x:c r="D1" s="3" t="str">
        <x:v>Task Performance Log</x:v>
      </x:c>
      <x:c r="E1" s="3" t="str">
        <x:v>Task Performance Log</x:v>
      </x:c>
      <x:c r="F1" s="3" t="str">
        <x:v>Task Performance Log</x:v>
      </x:c>
      <x:c r="G1" s="3" t="str">
        <x:v>Task Performance Log</x:v>
      </x:c>
      <x:c r="H1" s="3" t="str">
        <x:v>Task Performance Log</x:v>
      </x:c>
    </x:row>
    <x:row r="2">
      <x:c r="A2" s="11" t="str">
        <x:v>Participant</x:v>
      </x:c>
      <x:c r="B2" s="11" t="str">
        <x:v>Device</x:v>
      </x:c>
      <x:c r="C2" s="11" t="str">
        <x:v>Gender</x:v>
      </x:c>
      <x:c r="D2" s="11" t="str">
        <x:v>SUS Score</x:v>
      </x:c>
      <x:c r="E2" s="11" t="str">
        <x:v>Task</x:v>
      </x:c>
      <x:c r="F2" s="11" t="str">
        <x:v>Result</x:v>
      </x:c>
      <x:c r="G2" s="11" t="str">
        <x:v># Errors</x:v>
      </x:c>
      <x:c r="H2" s="11" t="str">
        <x:v>Observation</x:v>
      </x:c>
    </x:row>
    <x:row r="3">
      <x:c r="A3" t="n">
        <x:v>1</x:v>
      </x:c>
      <x:c r="B3" t="str">
        <x:v>Mobile</x:v>
      </x:c>
      <x:c r="C3" t="str">
        <x:v>Female</x:v>
      </x:c>
      <x:c r="D3" t="n">
        <x:v>40</x:v>
      </x:c>
      <x:c r="E3" t="str">
        <x:v>View offered subjects</x:v>
      </x:c>
      <x:c r="F3" t="str">
        <x:v>Fail</x:v>
      </x:c>
      <x:c r="G3" t="n">
        <x:v>3</x:v>
      </x:c>
      <x:c r="H3" s="16" t="str">
        <x:v>Participant accidentally clicked logout button.</x:v>
      </x:c>
    </x:row>
    <x:row r="4">
      <x:c r="A4" t="n">
        <x:v>1</x:v>
      </x:c>
      <x:c r="B4" t="str">
        <x:v>Mobile</x:v>
      </x:c>
      <x:c r="C4" t="str">
        <x:v>Female</x:v>
      </x:c>
      <x:c r="D4" t="n">
        <x:v>40</x:v>
      </x:c>
      <x:c r="E4" t="str">
        <x:v>Navigate to Home page</x:v>
      </x:c>
      <x:c r="F4" t="str">
        <x:v>Pass</x:v>
      </x:c>
      <x:c r="G4" t="n">
        <x:v>3</x:v>
      </x:c>
      <x:c r="H4" s="16" t="str">
        <x:v>Small text caused readability issues.</x:v>
      </x:c>
    </x:row>
    <x:row r="5">
      <x:c r="A5" t="n">
        <x:v>1</x:v>
      </x:c>
      <x:c r="B5" t="str">
        <x:v>Mobile</x:v>
      </x:c>
      <x:c r="C5" t="str">
        <x:v>Female</x:v>
      </x:c>
      <x:c r="D5" t="n">
        <x:v>40</x:v>
      </x:c>
      <x:c r="E5" t="str">
        <x:v>Login using credentials</x:v>
      </x:c>
      <x:c r="F5" t="str">
        <x:v>Fail</x:v>
      </x:c>
      <x:c r="G5" t="n">
        <x:v>1</x:v>
      </x:c>
      <x:c r="H5" s="16" t="str">
        <x:v>Participant accidentally clicked logout button.</x:v>
      </x:c>
    </x:row>
    <x:row r="6">
      <x:c r="A6" t="n">
        <x:v>1</x:v>
      </x:c>
      <x:c r="B6" t="str">
        <x:v>Mobile</x:v>
      </x:c>
      <x:c r="C6" t="str">
        <x:v>Female</x:v>
      </x:c>
      <x:c r="D6" t="n">
        <x:v>40</x:v>
      </x:c>
      <x:c r="E6" t="str">
        <x:v>Attempt logout</x:v>
      </x:c>
      <x:c r="F6" t="str">
        <x:v>Fail</x:v>
      </x:c>
      <x:c r="G6" t="n">
        <x:v>0</x:v>
      </x:c>
      <x:c r="H6" s="16" t="str">
        <x:v>Navigation felt confusing at first.</x:v>
      </x:c>
    </x:row>
    <x:row r="7">
      <x:c r="A7" t="n">
        <x:v>1</x:v>
      </x:c>
      <x:c r="B7" t="str">
        <x:v>Mobile</x:v>
      </x:c>
      <x:c r="C7" t="str">
        <x:v>Female</x:v>
      </x:c>
      <x:c r="D7" t="n">
        <x:v>40</x:v>
      </x:c>
      <x:c r="E7" t="str">
        <x:v>Return to login page</x:v>
      </x:c>
      <x:c r="F7" t="str">
        <x:v>Pass</x:v>
      </x:c>
      <x:c r="G7" t="n">
        <x:v>2</x:v>
      </x:c>
      <x:c r="H7" s="16" t="str">
        <x:v>User hesitated while locating navigation tabs.</x:v>
      </x:c>
    </x:row>
    <x:row r="8">
      <x:c r="A8" t="n">
        <x:v>1</x:v>
      </x:c>
      <x:c r="B8" t="str">
        <x:v>Mobile</x:v>
      </x:c>
      <x:c r="C8" t="str">
        <x:v>Female</x:v>
      </x:c>
      <x:c r="D8" t="n">
        <x:v>40</x:v>
      </x:c>
      <x:c r="E8" t="str">
        <x:v>Login again</x:v>
      </x:c>
      <x:c r="F8" t="str">
        <x:v>Assist</x:v>
      </x:c>
      <x:c r="G8" t="n">
        <x:v>2</x:v>
      </x:c>
      <x:c r="H8" s="16" t="str">
        <x:v>User hesitated while locating navigation tabs.</x:v>
      </x:c>
    </x:row>
    <x:row r="9">
      <x:c r="A9" t="n">
        <x:v>1</x:v>
      </x:c>
      <x:c r="B9" t="str">
        <x:v>Mobile</x:v>
      </x:c>
      <x:c r="C9" t="str">
        <x:v>Female</x:v>
      </x:c>
      <x:c r="D9" t="n">
        <x:v>40</x:v>
      </x:c>
      <x:c r="E9" t="str">
        <x:v>Open My Account</x:v>
      </x:c>
      <x:c r="F9" t="str">
        <x:v>Pass</x:v>
      </x:c>
      <x:c r="G9" t="n">
        <x:v>1</x:v>
      </x:c>
      <x:c r="H9" s="16" t="str">
        <x:v>User hesitated while locating navigation tabs.</x:v>
      </x:c>
    </x:row>
    <x:row r="10">
      <x:c r="A10" t="n">
        <x:v>1</x:v>
      </x:c>
      <x:c r="B10" t="str">
        <x:v>Mobile</x:v>
      </x:c>
      <x:c r="C10" t="str">
        <x:v>Female</x:v>
      </x:c>
      <x:c r="D10" t="n">
        <x:v>40</x:v>
      </x:c>
      <x:c r="E10" t="str">
        <x:v>Find Offered Subjects</x:v>
      </x:c>
      <x:c r="F10" t="str">
        <x:v>Pass</x:v>
      </x:c>
      <x:c r="G10" t="n">
        <x:v>1</x:v>
      </x:c>
      <x:c r="H10" s="16" t="str">
        <x:v>User relied on trial and error to proceed.</x:v>
      </x:c>
    </x:row>
    <x:row r="11">
      <x:c r="A11" t="n">
        <x:v>1</x:v>
      </x:c>
      <x:c r="B11" t="str">
        <x:v>Mobile</x:v>
      </x:c>
      <x:c r="C11" t="str">
        <x:v>Female</x:v>
      </x:c>
      <x:c r="D11" t="n">
        <x:v>40</x:v>
      </x:c>
      <x:c r="E11" t="str">
        <x:v>Navigate Clearance</x:v>
      </x:c>
      <x:c r="F11" t="str">
        <x:v>Pass</x:v>
      </x:c>
      <x:c r="G11" t="n">
        <x:v>0</x:v>
      </x:c>
      <x:c r="H11" s="16" t="str">
        <x:v>Participant accidentally clicked logout button.</x:v>
      </x:c>
    </x:row>
    <x:row r="12">
      <x:c r="A12" t="n">
        <x:v>1</x:v>
      </x:c>
      <x:c r="B12" t="str">
        <x:v>Mobile</x:v>
      </x:c>
      <x:c r="C12" t="str">
        <x:v>Female</x:v>
      </x:c>
      <x:c r="D12" t="n">
        <x:v>40</x:v>
      </x:c>
      <x:c r="E12" t="str">
        <x:v>View account information</x:v>
      </x:c>
      <x:c r="F12" t="str">
        <x:v>Pass</x:v>
      </x:c>
      <x:c r="G12" t="n">
        <x:v>3</x:v>
      </x:c>
      <x:c r="H12" s="16" t="str">
        <x:v>Participant accidentally clicked logout button.</x:v>
      </x:c>
    </x:row>
    <x:row r="13">
      <x:c r="A13" t="n">
        <x:v>2</x:v>
      </x:c>
      <x:c r="B13" t="str">
        <x:v>Computer</x:v>
      </x:c>
      <x:c r="C13" t="str">
        <x:v>Male</x:v>
      </x:c>
      <x:c r="D13" t="n">
        <x:v>35</x:v>
      </x:c>
      <x:c r="E13" t="str">
        <x:v>View offered subjects</x:v>
      </x:c>
      <x:c r="F13" t="str">
        <x:v>Assist</x:v>
      </x:c>
      <x:c r="G13" t="n">
        <x:v>1</x:v>
      </x:c>
      <x:c r="H13" s="16" t="str">
        <x:v>User relied on trial and error to proceed.</x:v>
      </x:c>
    </x:row>
    <x:row r="14">
      <x:c r="A14" t="n">
        <x:v>2</x:v>
      </x:c>
      <x:c r="B14" t="str">
        <x:v>Computer</x:v>
      </x:c>
      <x:c r="C14" t="str">
        <x:v>Male</x:v>
      </x:c>
      <x:c r="D14" t="n">
        <x:v>35</x:v>
      </x:c>
      <x:c r="E14" t="str">
        <x:v>Navigate to Home page</x:v>
      </x:c>
      <x:c r="F14" t="str">
        <x:v>Pass</x:v>
      </x:c>
      <x:c r="G14" t="n">
        <x:v>2</x:v>
      </x:c>
      <x:c r="H14" s="16" t="str">
        <x:v>Small text caused readability issues.</x:v>
      </x:c>
    </x:row>
    <x:row r="15">
      <x:c r="A15" t="n">
        <x:v>2</x:v>
      </x:c>
      <x:c r="B15" t="str">
        <x:v>Computer</x:v>
      </x:c>
      <x:c r="C15" t="str">
        <x:v>Male</x:v>
      </x:c>
      <x:c r="D15" t="n">
        <x:v>35</x:v>
      </x:c>
      <x:c r="E15" t="str">
        <x:v>Login using credentials</x:v>
      </x:c>
      <x:c r="F15" t="str">
        <x:v>Pass</x:v>
      </x:c>
      <x:c r="G15" t="n">
        <x:v>2</x:v>
      </x:c>
      <x:c r="H15" s="16" t="str">
        <x:v>User hesitated while locating navigation tabs.</x:v>
      </x:c>
    </x:row>
    <x:row r="16">
      <x:c r="A16" t="n">
        <x:v>2</x:v>
      </x:c>
      <x:c r="B16" t="str">
        <x:v>Computer</x:v>
      </x:c>
      <x:c r="C16" t="str">
        <x:v>Male</x:v>
      </x:c>
      <x:c r="D16" t="n">
        <x:v>35</x:v>
      </x:c>
      <x:c r="E16" t="str">
        <x:v>Attempt logout</x:v>
      </x:c>
      <x:c r="F16" t="str">
        <x:v>Assist</x:v>
      </x:c>
      <x:c r="G16" t="n">
        <x:v>3</x:v>
      </x:c>
      <x:c r="H16" s="16" t="str">
        <x:v>Navigation felt confusing at first.</x:v>
      </x:c>
    </x:row>
    <x:row r="17">
      <x:c r="A17" t="n">
        <x:v>2</x:v>
      </x:c>
      <x:c r="B17" t="str">
        <x:v>Computer</x:v>
      </x:c>
      <x:c r="C17" t="str">
        <x:v>Male</x:v>
      </x:c>
      <x:c r="D17" t="n">
        <x:v>35</x:v>
      </x:c>
      <x:c r="E17" t="str">
        <x:v>Return to login page</x:v>
      </x:c>
      <x:c r="F17" t="str">
        <x:v>Pass</x:v>
      </x:c>
      <x:c r="G17" t="n">
        <x:v>3</x:v>
      </x:c>
      <x:c r="H17" s="16" t="str">
        <x:v>Task completed smoothly after brief exploration.</x:v>
      </x:c>
    </x:row>
    <x:row r="18">
      <x:c r="A18" t="n">
        <x:v>2</x:v>
      </x:c>
      <x:c r="B18" t="str">
        <x:v>Computer</x:v>
      </x:c>
      <x:c r="C18" t="str">
        <x:v>Male</x:v>
      </x:c>
      <x:c r="D18" t="n">
        <x:v>35</x:v>
      </x:c>
      <x:c r="E18" t="str">
        <x:v>Login again</x:v>
      </x:c>
      <x:c r="F18" t="str">
        <x:v>Assist</x:v>
      </x:c>
      <x:c r="G18" t="n">
        <x:v>2</x:v>
      </x:c>
      <x:c r="H18" s="16" t="str">
        <x:v>Navigation felt confusing at first.</x:v>
      </x:c>
    </x:row>
    <x:row r="19">
      <x:c r="A19" t="n">
        <x:v>2</x:v>
      </x:c>
      <x:c r="B19" t="str">
        <x:v>Computer</x:v>
      </x:c>
      <x:c r="C19" t="str">
        <x:v>Male</x:v>
      </x:c>
      <x:c r="D19" t="n">
        <x:v>35</x:v>
      </x:c>
      <x:c r="E19" t="str">
        <x:v>Open My Account</x:v>
      </x:c>
      <x:c r="F19" t="str">
        <x:v>Pass</x:v>
      </x:c>
      <x:c r="G19" t="n">
        <x:v>1</x:v>
      </x:c>
      <x:c r="H19" s="16" t="str">
        <x:v>Participant accidentally clicked logout button.</x:v>
      </x:c>
    </x:row>
    <x:row r="20">
      <x:c r="A20" t="n">
        <x:v>2</x:v>
      </x:c>
      <x:c r="B20" t="str">
        <x:v>Computer</x:v>
      </x:c>
      <x:c r="C20" t="str">
        <x:v>Male</x:v>
      </x:c>
      <x:c r="D20" t="n">
        <x:v>35</x:v>
      </x:c>
      <x:c r="E20" t="str">
        <x:v>Find Offered Subjects</x:v>
      </x:c>
      <x:c r="F20" t="str">
        <x:v>Pass</x:v>
      </x:c>
      <x:c r="G20" t="n">
        <x:v>2</x:v>
      </x:c>
      <x:c r="H20" s="16" t="str">
        <x:v>Participant accidentally clicked logout button.</x:v>
      </x:c>
    </x:row>
    <x:row r="21">
      <x:c r="A21" t="n">
        <x:v>2</x:v>
      </x:c>
      <x:c r="B21" t="str">
        <x:v>Computer</x:v>
      </x:c>
      <x:c r="C21" t="str">
        <x:v>Male</x:v>
      </x:c>
      <x:c r="D21" t="n">
        <x:v>35</x:v>
      </x:c>
      <x:c r="E21" t="str">
        <x:v>Navigate Clearance</x:v>
      </x:c>
      <x:c r="F21" t="str">
        <x:v>Fail</x:v>
      </x:c>
      <x:c r="G21" t="n">
        <x:v>3</x:v>
      </x:c>
      <x:c r="H21" s="16" t="str">
        <x:v>Participant accidentally clicked logout button.</x:v>
      </x:c>
    </x:row>
    <x:row r="22">
      <x:c r="A22" t="n">
        <x:v>2</x:v>
      </x:c>
      <x:c r="B22" t="str">
        <x:v>Computer</x:v>
      </x:c>
      <x:c r="C22" t="str">
        <x:v>Male</x:v>
      </x:c>
      <x:c r="D22" t="n">
        <x:v>35</x:v>
      </x:c>
      <x:c r="E22" t="str">
        <x:v>View account information</x:v>
      </x:c>
      <x:c r="F22" t="str">
        <x:v>Fail</x:v>
      </x:c>
      <x:c r="G22" t="n">
        <x:v>3</x:v>
      </x:c>
      <x:c r="H22" s="16" t="str">
        <x:v>Small text caused readability issues.</x:v>
      </x:c>
    </x:row>
    <x:row r="23">
      <x:c r="A23" t="n">
        <x:v>3</x:v>
      </x:c>
      <x:c r="B23" t="str">
        <x:v>Computer</x:v>
      </x:c>
      <x:c r="C23" t="str">
        <x:v>Female</x:v>
      </x:c>
      <x:c r="D23" t="n">
        <x:v>57.5</x:v>
      </x:c>
      <x:c r="E23" t="str">
        <x:v>View offered subjects</x:v>
      </x:c>
      <x:c r="F23" t="str">
        <x:v>Assist</x:v>
      </x:c>
      <x:c r="G23" t="n">
        <x:v>2</x:v>
      </x:c>
      <x:c r="H23" s="16" t="str">
        <x:v>User hesitated while locating navigation tabs.</x:v>
      </x:c>
    </x:row>
    <x:row r="24">
      <x:c r="A24" t="n">
        <x:v>3</x:v>
      </x:c>
      <x:c r="B24" t="str">
        <x:v>Computer</x:v>
      </x:c>
      <x:c r="C24" t="str">
        <x:v>Female</x:v>
      </x:c>
      <x:c r="D24" t="n">
        <x:v>57.5</x:v>
      </x:c>
      <x:c r="E24" t="str">
        <x:v>Navigate to Home page</x:v>
      </x:c>
      <x:c r="F24" t="str">
        <x:v>Fail</x:v>
      </x:c>
      <x:c r="G24" t="n">
        <x:v>3</x:v>
      </x:c>
      <x:c r="H24" s="16" t="str">
        <x:v>Small text caused readability issues.</x:v>
      </x:c>
    </x:row>
    <x:row r="25">
      <x:c r="A25" t="n">
        <x:v>3</x:v>
      </x:c>
      <x:c r="B25" t="str">
        <x:v>Computer</x:v>
      </x:c>
      <x:c r="C25" t="str">
        <x:v>Female</x:v>
      </x:c>
      <x:c r="D25" t="n">
        <x:v>57.5</x:v>
      </x:c>
      <x:c r="E25" t="str">
        <x:v>Login using credentials</x:v>
      </x:c>
      <x:c r="F25" t="str">
        <x:v>Pass</x:v>
      </x:c>
      <x:c r="G25" t="n">
        <x:v>3</x:v>
      </x:c>
      <x:c r="H25" s="16" t="str">
        <x:v>Small text caused readability issues.</x:v>
      </x:c>
    </x:row>
    <x:row r="26">
      <x:c r="A26" t="n">
        <x:v>3</x:v>
      </x:c>
      <x:c r="B26" t="str">
        <x:v>Computer</x:v>
      </x:c>
      <x:c r="C26" t="str">
        <x:v>Female</x:v>
      </x:c>
      <x:c r="D26" t="n">
        <x:v>57.5</x:v>
      </x:c>
      <x:c r="E26" t="str">
        <x:v>Attempt logout</x:v>
      </x:c>
      <x:c r="F26" t="str">
        <x:v>Pass</x:v>
      </x:c>
      <x:c r="G26" t="n">
        <x:v>0</x:v>
      </x:c>
      <x:c r="H26" s="16" t="str">
        <x:v>Participant accidentally clicked logout button.</x:v>
      </x:c>
    </x:row>
    <x:row r="27">
      <x:c r="A27" t="n">
        <x:v>3</x:v>
      </x:c>
      <x:c r="B27" t="str">
        <x:v>Computer</x:v>
      </x:c>
      <x:c r="C27" t="str">
        <x:v>Female</x:v>
      </x:c>
      <x:c r="D27" t="n">
        <x:v>57.5</x:v>
      </x:c>
      <x:c r="E27" t="str">
        <x:v>Return to login page</x:v>
      </x:c>
      <x:c r="F27" t="str">
        <x:v>Pass</x:v>
      </x:c>
      <x:c r="G27" t="n">
        <x:v>2</x:v>
      </x:c>
      <x:c r="H27" s="16" t="str">
        <x:v>Participant accidentally clicked logout button.</x:v>
      </x:c>
    </x:row>
    <x:row r="28">
      <x:c r="A28" t="n">
        <x:v>3</x:v>
      </x:c>
      <x:c r="B28" t="str">
        <x:v>Computer</x:v>
      </x:c>
      <x:c r="C28" t="str">
        <x:v>Female</x:v>
      </x:c>
      <x:c r="D28" t="n">
        <x:v>57.5</x:v>
      </x:c>
      <x:c r="E28" t="str">
        <x:v>Login again</x:v>
      </x:c>
      <x:c r="F28" t="str">
        <x:v>Pass</x:v>
      </x:c>
      <x:c r="G28" t="n">
        <x:v>0</x:v>
      </x:c>
      <x:c r="H28" s="16" t="str">
        <x:v>Navigation felt confusing at first.</x:v>
      </x:c>
    </x:row>
    <x:row r="29">
      <x:c r="A29" t="n">
        <x:v>3</x:v>
      </x:c>
      <x:c r="B29" t="str">
        <x:v>Computer</x:v>
      </x:c>
      <x:c r="C29" t="str">
        <x:v>Female</x:v>
      </x:c>
      <x:c r="D29" t="n">
        <x:v>57.5</x:v>
      </x:c>
      <x:c r="E29" t="str">
        <x:v>Open My Account</x:v>
      </x:c>
      <x:c r="F29" t="str">
        <x:v>Assist</x:v>
      </x:c>
      <x:c r="G29" t="n">
        <x:v>3</x:v>
      </x:c>
      <x:c r="H29" s="16" t="str">
        <x:v>User relied on trial and error to proceed.</x:v>
      </x:c>
    </x:row>
    <x:row r="30">
      <x:c r="A30" t="n">
        <x:v>3</x:v>
      </x:c>
      <x:c r="B30" t="str">
        <x:v>Computer</x:v>
      </x:c>
      <x:c r="C30" t="str">
        <x:v>Female</x:v>
      </x:c>
      <x:c r="D30" t="n">
        <x:v>57.5</x:v>
      </x:c>
      <x:c r="E30" t="str">
        <x:v>Find Offered Subjects</x:v>
      </x:c>
      <x:c r="F30" t="str">
        <x:v>Pass</x:v>
      </x:c>
      <x:c r="G30" t="n">
        <x:v>2</x:v>
      </x:c>
      <x:c r="H30" s="16" t="str">
        <x:v>Navigation felt confusing at first.</x:v>
      </x:c>
    </x:row>
    <x:row r="31">
      <x:c r="A31" t="n">
        <x:v>3</x:v>
      </x:c>
      <x:c r="B31" t="str">
        <x:v>Computer</x:v>
      </x:c>
      <x:c r="C31" t="str">
        <x:v>Female</x:v>
      </x:c>
      <x:c r="D31" t="n">
        <x:v>57.5</x:v>
      </x:c>
      <x:c r="E31" t="str">
        <x:v>Navigate Clearance</x:v>
      </x:c>
      <x:c r="F31" t="str">
        <x:v>Assist</x:v>
      </x:c>
      <x:c r="G31" t="n">
        <x:v>0</x:v>
      </x:c>
      <x:c r="H31" s="16" t="str">
        <x:v>Small text caused readability issues.</x:v>
      </x:c>
    </x:row>
    <x:row r="32">
      <x:c r="A32" t="n">
        <x:v>3</x:v>
      </x:c>
      <x:c r="B32" t="str">
        <x:v>Computer</x:v>
      </x:c>
      <x:c r="C32" t="str">
        <x:v>Female</x:v>
      </x:c>
      <x:c r="D32" t="n">
        <x:v>57.5</x:v>
      </x:c>
      <x:c r="E32" t="str">
        <x:v>View account information</x:v>
      </x:c>
      <x:c r="F32" t="str">
        <x:v>Pass</x:v>
      </x:c>
      <x:c r="G32" t="n">
        <x:v>2</x:v>
      </x:c>
      <x:c r="H32" s="16" t="str">
        <x:v>Task completed smoothly after brief exploration.</x:v>
      </x:c>
    </x:row>
    <x:row r="33">
      <x:c r="A33" t="n">
        <x:v>4</x:v>
      </x:c>
      <x:c r="B33" t="str">
        <x:v>Computer</x:v>
      </x:c>
      <x:c r="C33" t="str">
        <x:v>Male</x:v>
      </x:c>
      <x:c r="D33" t="n">
        <x:v>57.5</x:v>
      </x:c>
      <x:c r="E33" t="str">
        <x:v>View offered subjects</x:v>
      </x:c>
      <x:c r="F33" t="str">
        <x:v>Pass</x:v>
      </x:c>
      <x:c r="G33" t="n">
        <x:v>0</x:v>
      </x:c>
      <x:c r="H33" s="16" t="str">
        <x:v>User relied on trial and error to proceed.</x:v>
      </x:c>
    </x:row>
    <x:row r="34">
      <x:c r="A34" t="n">
        <x:v>4</x:v>
      </x:c>
      <x:c r="B34" t="str">
        <x:v>Computer</x:v>
      </x:c>
      <x:c r="C34" t="str">
        <x:v>Male</x:v>
      </x:c>
      <x:c r="D34" t="n">
        <x:v>57.5</x:v>
      </x:c>
      <x:c r="E34" t="str">
        <x:v>Navigate to Home page</x:v>
      </x:c>
      <x:c r="F34" t="str">
        <x:v>Fail</x:v>
      </x:c>
      <x:c r="G34" t="n">
        <x:v>1</x:v>
      </x:c>
      <x:c r="H34" s="16" t="str">
        <x:v>Task completed smoothly after brief exploration.</x:v>
      </x:c>
    </x:row>
    <x:row r="35">
      <x:c r="A35" t="n">
        <x:v>4</x:v>
      </x:c>
      <x:c r="B35" t="str">
        <x:v>Computer</x:v>
      </x:c>
      <x:c r="C35" t="str">
        <x:v>Male</x:v>
      </x:c>
      <x:c r="D35" t="n">
        <x:v>57.5</x:v>
      </x:c>
      <x:c r="E35" t="str">
        <x:v>Login using credentials</x:v>
      </x:c>
      <x:c r="F35" t="str">
        <x:v>Pass</x:v>
      </x:c>
      <x:c r="G35" t="n">
        <x:v>2</x:v>
      </x:c>
      <x:c r="H35" s="16" t="str">
        <x:v>Navigation felt confusing at first.</x:v>
      </x:c>
    </x:row>
    <x:row r="36">
      <x:c r="A36" t="n">
        <x:v>4</x:v>
      </x:c>
      <x:c r="B36" t="str">
        <x:v>Computer</x:v>
      </x:c>
      <x:c r="C36" t="str">
        <x:v>Male</x:v>
      </x:c>
      <x:c r="D36" t="n">
        <x:v>57.5</x:v>
      </x:c>
      <x:c r="E36" t="str">
        <x:v>Attempt logout</x:v>
      </x:c>
      <x:c r="F36" t="str">
        <x:v>Pass</x:v>
      </x:c>
      <x:c r="G36" t="n">
        <x:v>0</x:v>
      </x:c>
      <x:c r="H36" s="16" t="str">
        <x:v>Participant accidentally clicked logout button.</x:v>
      </x:c>
    </x:row>
    <x:row r="37">
      <x:c r="A37" t="n">
        <x:v>4</x:v>
      </x:c>
      <x:c r="B37" t="str">
        <x:v>Computer</x:v>
      </x:c>
      <x:c r="C37" t="str">
        <x:v>Male</x:v>
      </x:c>
      <x:c r="D37" t="n">
        <x:v>57.5</x:v>
      </x:c>
      <x:c r="E37" t="str">
        <x:v>Return to login page</x:v>
      </x:c>
      <x:c r="F37" t="str">
        <x:v>Pass</x:v>
      </x:c>
      <x:c r="G37" t="n">
        <x:v>1</x:v>
      </x:c>
      <x:c r="H37" s="16" t="str">
        <x:v>Navigation felt confusing at first.</x:v>
      </x:c>
    </x:row>
    <x:row r="38">
      <x:c r="A38" t="n">
        <x:v>4</x:v>
      </x:c>
      <x:c r="B38" t="str">
        <x:v>Computer</x:v>
      </x:c>
      <x:c r="C38" t="str">
        <x:v>Male</x:v>
      </x:c>
      <x:c r="D38" t="n">
        <x:v>57.5</x:v>
      </x:c>
      <x:c r="E38" t="str">
        <x:v>Login again</x:v>
      </x:c>
      <x:c r="F38" t="str">
        <x:v>Pass</x:v>
      </x:c>
      <x:c r="G38" t="n">
        <x:v>1</x:v>
      </x:c>
      <x:c r="H38" s="16" t="str">
        <x:v>User hesitated while locating navigation tabs.</x:v>
      </x:c>
    </x:row>
    <x:row r="39">
      <x:c r="A39" t="n">
        <x:v>4</x:v>
      </x:c>
      <x:c r="B39" t="str">
        <x:v>Computer</x:v>
      </x:c>
      <x:c r="C39" t="str">
        <x:v>Male</x:v>
      </x:c>
      <x:c r="D39" t="n">
        <x:v>57.5</x:v>
      </x:c>
      <x:c r="E39" t="str">
        <x:v>Open My Account</x:v>
      </x:c>
      <x:c r="F39" t="str">
        <x:v>Fail</x:v>
      </x:c>
      <x:c r="G39" t="n">
        <x:v>1</x:v>
      </x:c>
      <x:c r="H39" s="16" t="str">
        <x:v>Small text caused readability issues.</x:v>
      </x:c>
    </x:row>
    <x:row r="40">
      <x:c r="A40" t="n">
        <x:v>4</x:v>
      </x:c>
      <x:c r="B40" t="str">
        <x:v>Computer</x:v>
      </x:c>
      <x:c r="C40" t="str">
        <x:v>Male</x:v>
      </x:c>
      <x:c r="D40" t="n">
        <x:v>57.5</x:v>
      </x:c>
      <x:c r="E40" t="str">
        <x:v>Find Offered Subjects</x:v>
      </x:c>
      <x:c r="F40" t="str">
        <x:v>Pass</x:v>
      </x:c>
      <x:c r="G40" t="n">
        <x:v>2</x:v>
      </x:c>
      <x:c r="H40" s="16" t="str">
        <x:v>Navigation felt confusing at first.</x:v>
      </x:c>
    </x:row>
    <x:row r="41">
      <x:c r="A41" t="n">
        <x:v>4</x:v>
      </x:c>
      <x:c r="B41" t="str">
        <x:v>Computer</x:v>
      </x:c>
      <x:c r="C41" t="str">
        <x:v>Male</x:v>
      </x:c>
      <x:c r="D41" t="n">
        <x:v>57.5</x:v>
      </x:c>
      <x:c r="E41" t="str">
        <x:v>Navigate Clearance</x:v>
      </x:c>
      <x:c r="F41" t="str">
        <x:v>Pass</x:v>
      </x:c>
      <x:c r="G41" t="n">
        <x:v>0</x:v>
      </x:c>
      <x:c r="H41" s="16" t="str">
        <x:v>Navigation felt confusing at first.</x:v>
      </x:c>
    </x:row>
    <x:row r="42">
      <x:c r="A42" t="n">
        <x:v>4</x:v>
      </x:c>
      <x:c r="B42" t="str">
        <x:v>Computer</x:v>
      </x:c>
      <x:c r="C42" t="str">
        <x:v>Male</x:v>
      </x:c>
      <x:c r="D42" t="n">
        <x:v>57.5</x:v>
      </x:c>
      <x:c r="E42" t="str">
        <x:v>View account information</x:v>
      </x:c>
      <x:c r="F42" t="str">
        <x:v>Pass</x:v>
      </x:c>
      <x:c r="G42" t="n">
        <x:v>1</x:v>
      </x:c>
      <x:c r="H42" s="16" t="str">
        <x:v>Small text caused readability issues.</x:v>
      </x:c>
    </x:row>
    <x:row r="43">
      <x:c r="A43" t="n">
        <x:v>5</x:v>
      </x:c>
      <x:c r="B43" t="str">
        <x:v>Mobile</x:v>
      </x:c>
      <x:c r="C43" t="str">
        <x:v>Female</x:v>
      </x:c>
      <x:c r="D43" t="n">
        <x:v>52.5</x:v>
      </x:c>
      <x:c r="E43" t="str">
        <x:v>View offered subjects</x:v>
      </x:c>
      <x:c r="F43" t="str">
        <x:v>Pass</x:v>
      </x:c>
      <x:c r="G43" t="n">
        <x:v>0</x:v>
      </x:c>
      <x:c r="H43" s="16" t="str">
        <x:v>Small text caused readability issues.</x:v>
      </x:c>
    </x:row>
    <x:row r="44">
      <x:c r="A44" t="n">
        <x:v>5</x:v>
      </x:c>
      <x:c r="B44" t="str">
        <x:v>Mobile</x:v>
      </x:c>
      <x:c r="C44" t="str">
        <x:v>Female</x:v>
      </x:c>
      <x:c r="D44" t="n">
        <x:v>52.5</x:v>
      </x:c>
      <x:c r="E44" t="str">
        <x:v>Navigate to Home page</x:v>
      </x:c>
      <x:c r="F44" t="str">
        <x:v>Assist</x:v>
      </x:c>
      <x:c r="G44" t="n">
        <x:v>3</x:v>
      </x:c>
      <x:c r="H44" s="16" t="str">
        <x:v>Task completed smoothly after brief exploration.</x:v>
      </x:c>
    </x:row>
    <x:row r="45">
      <x:c r="A45" t="n">
        <x:v>5</x:v>
      </x:c>
      <x:c r="B45" t="str">
        <x:v>Mobile</x:v>
      </x:c>
      <x:c r="C45" t="str">
        <x:v>Female</x:v>
      </x:c>
      <x:c r="D45" t="n">
        <x:v>52.5</x:v>
      </x:c>
      <x:c r="E45" t="str">
        <x:v>Login using credentials</x:v>
      </x:c>
      <x:c r="F45" t="str">
        <x:v>Assist</x:v>
      </x:c>
      <x:c r="G45" t="n">
        <x:v>2</x:v>
      </x:c>
      <x:c r="H45" s="16" t="str">
        <x:v>Participant accidentally clicked logout button.</x:v>
      </x:c>
    </x:row>
    <x:row r="46">
      <x:c r="A46" t="n">
        <x:v>5</x:v>
      </x:c>
      <x:c r="B46" t="str">
        <x:v>Mobile</x:v>
      </x:c>
      <x:c r="C46" t="str">
        <x:v>Female</x:v>
      </x:c>
      <x:c r="D46" t="n">
        <x:v>52.5</x:v>
      </x:c>
      <x:c r="E46" t="str">
        <x:v>Attempt logout</x:v>
      </x:c>
      <x:c r="F46" t="str">
        <x:v>Assist</x:v>
      </x:c>
      <x:c r="G46" t="n">
        <x:v>0</x:v>
      </x:c>
      <x:c r="H46" s="16" t="str">
        <x:v>Small text caused readability issues.</x:v>
      </x:c>
    </x:row>
    <x:row r="47">
      <x:c r="A47" t="n">
        <x:v>5</x:v>
      </x:c>
      <x:c r="B47" t="str">
        <x:v>Mobile</x:v>
      </x:c>
      <x:c r="C47" t="str">
        <x:v>Female</x:v>
      </x:c>
      <x:c r="D47" t="n">
        <x:v>52.5</x:v>
      </x:c>
      <x:c r="E47" t="str">
        <x:v>Return to login page</x:v>
      </x:c>
      <x:c r="F47" t="str">
        <x:v>Assist</x:v>
      </x:c>
      <x:c r="G47" t="n">
        <x:v>2</x:v>
      </x:c>
      <x:c r="H47" s="16" t="str">
        <x:v>User relied on trial and error to proceed.</x:v>
      </x:c>
    </x:row>
    <x:row r="48">
      <x:c r="A48" t="n">
        <x:v>5</x:v>
      </x:c>
      <x:c r="B48" t="str">
        <x:v>Mobile</x:v>
      </x:c>
      <x:c r="C48" t="str">
        <x:v>Female</x:v>
      </x:c>
      <x:c r="D48" t="n">
        <x:v>52.5</x:v>
      </x:c>
      <x:c r="E48" t="str">
        <x:v>Login again</x:v>
      </x:c>
      <x:c r="F48" t="str">
        <x:v>Pass</x:v>
      </x:c>
      <x:c r="G48" t="n">
        <x:v>1</x:v>
      </x:c>
      <x:c r="H48" s="16" t="str">
        <x:v>Small text caused readability issues.</x:v>
      </x:c>
    </x:row>
    <x:row r="49">
      <x:c r="A49" t="n">
        <x:v>5</x:v>
      </x:c>
      <x:c r="B49" t="str">
        <x:v>Mobile</x:v>
      </x:c>
      <x:c r="C49" t="str">
        <x:v>Female</x:v>
      </x:c>
      <x:c r="D49" t="n">
        <x:v>52.5</x:v>
      </x:c>
      <x:c r="E49" t="str">
        <x:v>Open My Account</x:v>
      </x:c>
      <x:c r="F49" t="str">
        <x:v>Pass</x:v>
      </x:c>
      <x:c r="G49" t="n">
        <x:v>2</x:v>
      </x:c>
      <x:c r="H49" s="16" t="str">
        <x:v>Navigation felt confusing at first.</x:v>
      </x:c>
    </x:row>
    <x:row r="50">
      <x:c r="A50" t="n">
        <x:v>5</x:v>
      </x:c>
      <x:c r="B50" t="str">
        <x:v>Mobile</x:v>
      </x:c>
      <x:c r="C50" t="str">
        <x:v>Female</x:v>
      </x:c>
      <x:c r="D50" t="n">
        <x:v>52.5</x:v>
      </x:c>
      <x:c r="E50" t="str">
        <x:v>Find Offered Subjects</x:v>
      </x:c>
      <x:c r="F50" t="str">
        <x:v>Assist</x:v>
      </x:c>
      <x:c r="G50" t="n">
        <x:v>2</x:v>
      </x:c>
      <x:c r="H50" s="16" t="str">
        <x:v>User relied on trial and error to proceed.</x:v>
      </x:c>
    </x:row>
    <x:row r="51">
      <x:c r="A51" t="n">
        <x:v>5</x:v>
      </x:c>
      <x:c r="B51" t="str">
        <x:v>Mobile</x:v>
      </x:c>
      <x:c r="C51" t="str">
        <x:v>Female</x:v>
      </x:c>
      <x:c r="D51" t="n">
        <x:v>52.5</x:v>
      </x:c>
      <x:c r="E51" t="str">
        <x:v>Navigate Clearance</x:v>
      </x:c>
      <x:c r="F51" t="str">
        <x:v>Pass</x:v>
      </x:c>
      <x:c r="G51" t="n">
        <x:v>0</x:v>
      </x:c>
      <x:c r="H51" s="16" t="str">
        <x:v>Participant accidentally clicked logout button.</x:v>
      </x:c>
    </x:row>
    <x:row r="52">
      <x:c r="A52" t="n">
        <x:v>5</x:v>
      </x:c>
      <x:c r="B52" t="str">
        <x:v>Mobile</x:v>
      </x:c>
      <x:c r="C52" t="str">
        <x:v>Female</x:v>
      </x:c>
      <x:c r="D52" t="n">
        <x:v>52.5</x:v>
      </x:c>
      <x:c r="E52" t="str">
        <x:v>View account information</x:v>
      </x:c>
      <x:c r="F52" t="str">
        <x:v>Pass</x:v>
      </x:c>
      <x:c r="G52" t="n">
        <x:v>3</x:v>
      </x:c>
      <x:c r="H52" s="16" t="str">
        <x:v>Small text caused readability issues.</x:v>
      </x:c>
    </x:row>
    <x:row r="53">
      <x:c r="A53" t="n">
        <x:v>6</x:v>
      </x:c>
      <x:c r="B53" t="str">
        <x:v>Computer</x:v>
      </x:c>
      <x:c r="C53" t="str">
        <x:v>Female</x:v>
      </x:c>
      <x:c r="D53" t="n">
        <x:v>45</x:v>
      </x:c>
      <x:c r="E53" t="str">
        <x:v>View offered subjects</x:v>
      </x:c>
      <x:c r="F53" t="str">
        <x:v>Assist</x:v>
      </x:c>
      <x:c r="G53" t="n">
        <x:v>3</x:v>
      </x:c>
      <x:c r="H53" s="16" t="str">
        <x:v>User relied on trial and error to proceed.</x:v>
      </x:c>
    </x:row>
    <x:row r="54">
      <x:c r="A54" t="n">
        <x:v>6</x:v>
      </x:c>
      <x:c r="B54" t="str">
        <x:v>Computer</x:v>
      </x:c>
      <x:c r="C54" t="str">
        <x:v>Female</x:v>
      </x:c>
      <x:c r="D54" t="n">
        <x:v>45</x:v>
      </x:c>
      <x:c r="E54" t="str">
        <x:v>Navigate to Home page</x:v>
      </x:c>
      <x:c r="F54" t="str">
        <x:v>Assist</x:v>
      </x:c>
      <x:c r="G54" t="n">
        <x:v>2</x:v>
      </x:c>
      <x:c r="H54" s="16" t="str">
        <x:v>Task completed smoothly after brief exploration.</x:v>
      </x:c>
    </x:row>
    <x:row r="55">
      <x:c r="A55" t="n">
        <x:v>6</x:v>
      </x:c>
      <x:c r="B55" t="str">
        <x:v>Computer</x:v>
      </x:c>
      <x:c r="C55" t="str">
        <x:v>Female</x:v>
      </x:c>
      <x:c r="D55" t="n">
        <x:v>45</x:v>
      </x:c>
      <x:c r="E55" t="str">
        <x:v>Login using credentials</x:v>
      </x:c>
      <x:c r="F55" t="str">
        <x:v>Pass</x:v>
      </x:c>
      <x:c r="G55" t="n">
        <x:v>3</x:v>
      </x:c>
      <x:c r="H55" s="16" t="str">
        <x:v>Navigation felt confusing at first.</x:v>
      </x:c>
    </x:row>
    <x:row r="56">
      <x:c r="A56" t="n">
        <x:v>6</x:v>
      </x:c>
      <x:c r="B56" t="str">
        <x:v>Computer</x:v>
      </x:c>
      <x:c r="C56" t="str">
        <x:v>Female</x:v>
      </x:c>
      <x:c r="D56" t="n">
        <x:v>45</x:v>
      </x:c>
      <x:c r="E56" t="str">
        <x:v>Attempt logout</x:v>
      </x:c>
      <x:c r="F56" t="str">
        <x:v>Pass</x:v>
      </x:c>
      <x:c r="G56" t="n">
        <x:v>3</x:v>
      </x:c>
      <x:c r="H56" s="16" t="str">
        <x:v>Small text caused readability issues.</x:v>
      </x:c>
    </x:row>
    <x:row r="57">
      <x:c r="A57" t="n">
        <x:v>6</x:v>
      </x:c>
      <x:c r="B57" t="str">
        <x:v>Computer</x:v>
      </x:c>
      <x:c r="C57" t="str">
        <x:v>Female</x:v>
      </x:c>
      <x:c r="D57" t="n">
        <x:v>45</x:v>
      </x:c>
      <x:c r="E57" t="str">
        <x:v>Return to login page</x:v>
      </x:c>
      <x:c r="F57" t="str">
        <x:v>Pass</x:v>
      </x:c>
      <x:c r="G57" t="n">
        <x:v>3</x:v>
      </x:c>
      <x:c r="H57" s="16" t="str">
        <x:v>Small text caused readability issues.</x:v>
      </x:c>
    </x:row>
    <x:row r="58">
      <x:c r="A58" t="n">
        <x:v>6</x:v>
      </x:c>
      <x:c r="B58" t="str">
        <x:v>Computer</x:v>
      </x:c>
      <x:c r="C58" t="str">
        <x:v>Female</x:v>
      </x:c>
      <x:c r="D58" t="n">
        <x:v>45</x:v>
      </x:c>
      <x:c r="E58" t="str">
        <x:v>Login again</x:v>
      </x:c>
      <x:c r="F58" t="str">
        <x:v>Fail</x:v>
      </x:c>
      <x:c r="G58" t="n">
        <x:v>2</x:v>
      </x:c>
      <x:c r="H58" s="16" t="str">
        <x:v>Small text caused readability issues.</x:v>
      </x:c>
    </x:row>
    <x:row r="59">
      <x:c r="A59" t="n">
        <x:v>6</x:v>
      </x:c>
      <x:c r="B59" t="str">
        <x:v>Computer</x:v>
      </x:c>
      <x:c r="C59" t="str">
        <x:v>Female</x:v>
      </x:c>
      <x:c r="D59" t="n">
        <x:v>45</x:v>
      </x:c>
      <x:c r="E59" t="str">
        <x:v>Open My Account</x:v>
      </x:c>
      <x:c r="F59" t="str">
        <x:v>Pass</x:v>
      </x:c>
      <x:c r="G59" t="n">
        <x:v>1</x:v>
      </x:c>
      <x:c r="H59" s="16" t="str">
        <x:v>Navigation felt confusing at first.</x:v>
      </x:c>
    </x:row>
    <x:row r="60">
      <x:c r="A60" t="n">
        <x:v>6</x:v>
      </x:c>
      <x:c r="B60" t="str">
        <x:v>Computer</x:v>
      </x:c>
      <x:c r="C60" t="str">
        <x:v>Female</x:v>
      </x:c>
      <x:c r="D60" t="n">
        <x:v>45</x:v>
      </x:c>
      <x:c r="E60" t="str">
        <x:v>Find Offered Subjects</x:v>
      </x:c>
      <x:c r="F60" t="str">
        <x:v>Pass</x:v>
      </x:c>
      <x:c r="G60" t="n">
        <x:v>0</x:v>
      </x:c>
      <x:c r="H60" s="16" t="str">
        <x:v>Small text caused readability issues.</x:v>
      </x:c>
    </x:row>
    <x:row r="61">
      <x:c r="A61" t="n">
        <x:v>6</x:v>
      </x:c>
      <x:c r="B61" t="str">
        <x:v>Computer</x:v>
      </x:c>
      <x:c r="C61" t="str">
        <x:v>Female</x:v>
      </x:c>
      <x:c r="D61" t="n">
        <x:v>45</x:v>
      </x:c>
      <x:c r="E61" t="str">
        <x:v>Navigate Clearance</x:v>
      </x:c>
      <x:c r="F61" t="str">
        <x:v>Pass</x:v>
      </x:c>
      <x:c r="G61" t="n">
        <x:v>2</x:v>
      </x:c>
      <x:c r="H61" s="16" t="str">
        <x:v>Small text caused readability issues.</x:v>
      </x:c>
    </x:row>
    <x:row r="62">
      <x:c r="A62" t="n">
        <x:v>6</x:v>
      </x:c>
      <x:c r="B62" t="str">
        <x:v>Computer</x:v>
      </x:c>
      <x:c r="C62" t="str">
        <x:v>Female</x:v>
      </x:c>
      <x:c r="D62" t="n">
        <x:v>45</x:v>
      </x:c>
      <x:c r="E62" t="str">
        <x:v>View account information</x:v>
      </x:c>
      <x:c r="F62" t="str">
        <x:v>Fail</x:v>
      </x:c>
      <x:c r="G62" t="n">
        <x:v>2</x:v>
      </x:c>
      <x:c r="H62" s="16" t="str">
        <x:v>Participant accidentally clicked logout button.</x:v>
      </x:c>
    </x:row>
    <x:row r="63">
      <x:c r="A63" t="n">
        <x:v>7</x:v>
      </x:c>
      <x:c r="B63" t="str">
        <x:v>Mobile</x:v>
      </x:c>
      <x:c r="C63" t="str">
        <x:v>Male</x:v>
      </x:c>
      <x:c r="D63" t="n">
        <x:v>50</x:v>
      </x:c>
      <x:c r="E63" t="str">
        <x:v>View offered subjects</x:v>
      </x:c>
      <x:c r="F63" t="str">
        <x:v>Pass</x:v>
      </x:c>
      <x:c r="G63" t="n">
        <x:v>3</x:v>
      </x:c>
      <x:c r="H63" s="16" t="str">
        <x:v>Small text caused readability issues.</x:v>
      </x:c>
    </x:row>
    <x:row r="64">
      <x:c r="A64" t="n">
        <x:v>7</x:v>
      </x:c>
      <x:c r="B64" t="str">
        <x:v>Mobile</x:v>
      </x:c>
      <x:c r="C64" t="str">
        <x:v>Male</x:v>
      </x:c>
      <x:c r="D64" t="n">
        <x:v>50</x:v>
      </x:c>
      <x:c r="E64" t="str">
        <x:v>Navigate to Home page</x:v>
      </x:c>
      <x:c r="F64" t="str">
        <x:v>Pass</x:v>
      </x:c>
      <x:c r="G64" t="n">
        <x:v>3</x:v>
      </x:c>
      <x:c r="H64" s="16" t="str">
        <x:v>Navigation felt confusing at first.</x:v>
      </x:c>
    </x:row>
    <x:row r="65">
      <x:c r="A65" t="n">
        <x:v>7</x:v>
      </x:c>
      <x:c r="B65" t="str">
        <x:v>Mobile</x:v>
      </x:c>
      <x:c r="C65" t="str">
        <x:v>Male</x:v>
      </x:c>
      <x:c r="D65" t="n">
        <x:v>50</x:v>
      </x:c>
      <x:c r="E65" t="str">
        <x:v>Login using credentials</x:v>
      </x:c>
      <x:c r="F65" t="str">
        <x:v>Assist</x:v>
      </x:c>
      <x:c r="G65" t="n">
        <x:v>1</x:v>
      </x:c>
      <x:c r="H65" s="16" t="str">
        <x:v>Participant accidentally clicked logout button.</x:v>
      </x:c>
    </x:row>
    <x:row r="66">
      <x:c r="A66" t="n">
        <x:v>7</x:v>
      </x:c>
      <x:c r="B66" t="str">
        <x:v>Mobile</x:v>
      </x:c>
      <x:c r="C66" t="str">
        <x:v>Male</x:v>
      </x:c>
      <x:c r="D66" t="n">
        <x:v>50</x:v>
      </x:c>
      <x:c r="E66" t="str">
        <x:v>Attempt logout</x:v>
      </x:c>
      <x:c r="F66" t="str">
        <x:v>Pass</x:v>
      </x:c>
      <x:c r="G66" t="n">
        <x:v>3</x:v>
      </x:c>
      <x:c r="H66" s="16" t="str">
        <x:v>Small text caused readability issues.</x:v>
      </x:c>
    </x:row>
    <x:row r="67">
      <x:c r="A67" t="n">
        <x:v>7</x:v>
      </x:c>
      <x:c r="B67" t="str">
        <x:v>Mobile</x:v>
      </x:c>
      <x:c r="C67" t="str">
        <x:v>Male</x:v>
      </x:c>
      <x:c r="D67" t="n">
        <x:v>50</x:v>
      </x:c>
      <x:c r="E67" t="str">
        <x:v>Return to login page</x:v>
      </x:c>
      <x:c r="F67" t="str">
        <x:v>Fail</x:v>
      </x:c>
      <x:c r="G67" t="n">
        <x:v>0</x:v>
      </x:c>
      <x:c r="H67" s="16" t="str">
        <x:v>Navigation felt confusing at first.</x:v>
      </x:c>
    </x:row>
    <x:row r="68">
      <x:c r="A68" t="n">
        <x:v>7</x:v>
      </x:c>
      <x:c r="B68" t="str">
        <x:v>Mobile</x:v>
      </x:c>
      <x:c r="C68" t="str">
        <x:v>Male</x:v>
      </x:c>
      <x:c r="D68" t="n">
        <x:v>50</x:v>
      </x:c>
      <x:c r="E68" t="str">
        <x:v>Login again</x:v>
      </x:c>
      <x:c r="F68" t="str">
        <x:v>Assist</x:v>
      </x:c>
      <x:c r="G68" t="n">
        <x:v>3</x:v>
      </x:c>
      <x:c r="H68" s="16" t="str">
        <x:v>User relied on trial and error to proceed.</x:v>
      </x:c>
    </x:row>
    <x:row r="69">
      <x:c r="A69" t="n">
        <x:v>7</x:v>
      </x:c>
      <x:c r="B69" t="str">
        <x:v>Mobile</x:v>
      </x:c>
      <x:c r="C69" t="str">
        <x:v>Male</x:v>
      </x:c>
      <x:c r="D69" t="n">
        <x:v>50</x:v>
      </x:c>
      <x:c r="E69" t="str">
        <x:v>Open My Account</x:v>
      </x:c>
      <x:c r="F69" t="str">
        <x:v>Pass</x:v>
      </x:c>
      <x:c r="G69" t="n">
        <x:v>1</x:v>
      </x:c>
      <x:c r="H69" s="16" t="str">
        <x:v>Task completed smoothly after brief exploration.</x:v>
      </x:c>
    </x:row>
    <x:row r="70">
      <x:c r="A70" t="n">
        <x:v>7</x:v>
      </x:c>
      <x:c r="B70" t="str">
        <x:v>Mobile</x:v>
      </x:c>
      <x:c r="C70" t="str">
        <x:v>Male</x:v>
      </x:c>
      <x:c r="D70" t="n">
        <x:v>50</x:v>
      </x:c>
      <x:c r="E70" t="str">
        <x:v>Find Offered Subjects</x:v>
      </x:c>
      <x:c r="F70" t="str">
        <x:v>Fail</x:v>
      </x:c>
      <x:c r="G70" t="n">
        <x:v>3</x:v>
      </x:c>
      <x:c r="H70" s="16" t="str">
        <x:v>User hesitated while locating navigation tabs.</x:v>
      </x:c>
    </x:row>
    <x:row r="71">
      <x:c r="A71" t="n">
        <x:v>7</x:v>
      </x:c>
      <x:c r="B71" t="str">
        <x:v>Mobile</x:v>
      </x:c>
      <x:c r="C71" t="str">
        <x:v>Male</x:v>
      </x:c>
      <x:c r="D71" t="n">
        <x:v>50</x:v>
      </x:c>
      <x:c r="E71" t="str">
        <x:v>Navigate Clearance</x:v>
      </x:c>
      <x:c r="F71" t="str">
        <x:v>Pass</x:v>
      </x:c>
      <x:c r="G71" t="n">
        <x:v>1</x:v>
      </x:c>
      <x:c r="H71" s="16" t="str">
        <x:v>User relied on trial and error to proceed.</x:v>
      </x:c>
    </x:row>
    <x:row r="72">
      <x:c r="A72" t="n">
        <x:v>7</x:v>
      </x:c>
      <x:c r="B72" t="str">
        <x:v>Mobile</x:v>
      </x:c>
      <x:c r="C72" t="str">
        <x:v>Male</x:v>
      </x:c>
      <x:c r="D72" t="n">
        <x:v>50</x:v>
      </x:c>
      <x:c r="E72" t="str">
        <x:v>View account information</x:v>
      </x:c>
      <x:c r="F72" t="str">
        <x:v>Pass</x:v>
      </x:c>
      <x:c r="G72" t="n">
        <x:v>1</x:v>
      </x:c>
      <x:c r="H72" s="16" t="str">
        <x:v>Navigation felt confusing at first.</x:v>
      </x:c>
    </x:row>
    <x:row r="73">
      <x:c r="A73" t="n">
        <x:v>8</x:v>
      </x:c>
      <x:c r="B73" t="str">
        <x:v>Computer</x:v>
      </x:c>
      <x:c r="C73" t="str">
        <x:v>Female</x:v>
      </x:c>
      <x:c r="D73" t="n">
        <x:v>60</x:v>
      </x:c>
      <x:c r="E73" t="str">
        <x:v>View offered subjects</x:v>
      </x:c>
      <x:c r="F73" t="str">
        <x:v>Fail</x:v>
      </x:c>
      <x:c r="G73" t="n">
        <x:v>3</x:v>
      </x:c>
      <x:c r="H73" s="16" t="str">
        <x:v>Participant accidentally clicked logout button.</x:v>
      </x:c>
    </x:row>
    <x:row r="74">
      <x:c r="A74" t="n">
        <x:v>8</x:v>
      </x:c>
      <x:c r="B74" t="str">
        <x:v>Computer</x:v>
      </x:c>
      <x:c r="C74" t="str">
        <x:v>Female</x:v>
      </x:c>
      <x:c r="D74" t="n">
        <x:v>60</x:v>
      </x:c>
      <x:c r="E74" t="str">
        <x:v>Navigate to Home page</x:v>
      </x:c>
      <x:c r="F74" t="str">
        <x:v>Pass</x:v>
      </x:c>
      <x:c r="G74" t="n">
        <x:v>2</x:v>
      </x:c>
      <x:c r="H74" s="16" t="str">
        <x:v>Task completed smoothly after brief exploration.</x:v>
      </x:c>
    </x:row>
    <x:row r="75">
      <x:c r="A75" t="n">
        <x:v>8</x:v>
      </x:c>
      <x:c r="B75" t="str">
        <x:v>Computer</x:v>
      </x:c>
      <x:c r="C75" t="str">
        <x:v>Female</x:v>
      </x:c>
      <x:c r="D75" t="n">
        <x:v>60</x:v>
      </x:c>
      <x:c r="E75" t="str">
        <x:v>Login using credentials</x:v>
      </x:c>
      <x:c r="F75" t="str">
        <x:v>Pass</x:v>
      </x:c>
      <x:c r="G75" t="n">
        <x:v>1</x:v>
      </x:c>
      <x:c r="H75" s="16" t="str">
        <x:v>User relied on trial and error to proceed.</x:v>
      </x:c>
    </x:row>
    <x:row r="76">
      <x:c r="A76" t="n">
        <x:v>8</x:v>
      </x:c>
      <x:c r="B76" t="str">
        <x:v>Computer</x:v>
      </x:c>
      <x:c r="C76" t="str">
        <x:v>Female</x:v>
      </x:c>
      <x:c r="D76" t="n">
        <x:v>60</x:v>
      </x:c>
      <x:c r="E76" t="str">
        <x:v>Attempt logout</x:v>
      </x:c>
      <x:c r="F76" t="str">
        <x:v>Pass</x:v>
      </x:c>
      <x:c r="G76" t="n">
        <x:v>2</x:v>
      </x:c>
      <x:c r="H76" s="16" t="str">
        <x:v>Small text caused readability issues.</x:v>
      </x:c>
    </x:row>
    <x:row r="77">
      <x:c r="A77" t="n">
        <x:v>8</x:v>
      </x:c>
      <x:c r="B77" t="str">
        <x:v>Computer</x:v>
      </x:c>
      <x:c r="C77" t="str">
        <x:v>Female</x:v>
      </x:c>
      <x:c r="D77" t="n">
        <x:v>60</x:v>
      </x:c>
      <x:c r="E77" t="str">
        <x:v>Return to login page</x:v>
      </x:c>
      <x:c r="F77" t="str">
        <x:v>Pass</x:v>
      </x:c>
      <x:c r="G77" t="n">
        <x:v>0</x:v>
      </x:c>
      <x:c r="H77" s="16" t="str">
        <x:v>User hesitated while locating navigation tabs.</x:v>
      </x:c>
    </x:row>
    <x:row r="78">
      <x:c r="A78" t="n">
        <x:v>8</x:v>
      </x:c>
      <x:c r="B78" t="str">
        <x:v>Computer</x:v>
      </x:c>
      <x:c r="C78" t="str">
        <x:v>Female</x:v>
      </x:c>
      <x:c r="D78" t="n">
        <x:v>60</x:v>
      </x:c>
      <x:c r="E78" t="str">
        <x:v>Login again</x:v>
      </x:c>
      <x:c r="F78" t="str">
        <x:v>Fail</x:v>
      </x:c>
      <x:c r="G78" t="n">
        <x:v>2</x:v>
      </x:c>
      <x:c r="H78" s="16" t="str">
        <x:v>User relied on trial and error to proceed.</x:v>
      </x:c>
    </x:row>
    <x:row r="79">
      <x:c r="A79" t="n">
        <x:v>8</x:v>
      </x:c>
      <x:c r="B79" t="str">
        <x:v>Computer</x:v>
      </x:c>
      <x:c r="C79" t="str">
        <x:v>Female</x:v>
      </x:c>
      <x:c r="D79" t="n">
        <x:v>60</x:v>
      </x:c>
      <x:c r="E79" t="str">
        <x:v>Open My Account</x:v>
      </x:c>
      <x:c r="F79" t="str">
        <x:v>Pass</x:v>
      </x:c>
      <x:c r="G79" t="n">
        <x:v>1</x:v>
      </x:c>
      <x:c r="H79" s="16" t="str">
        <x:v>User relied on trial and error to proceed.</x:v>
      </x:c>
    </x:row>
    <x:row r="80">
      <x:c r="A80" t="n">
        <x:v>8</x:v>
      </x:c>
      <x:c r="B80" t="str">
        <x:v>Computer</x:v>
      </x:c>
      <x:c r="C80" t="str">
        <x:v>Female</x:v>
      </x:c>
      <x:c r="D80" t="n">
        <x:v>60</x:v>
      </x:c>
      <x:c r="E80" t="str">
        <x:v>Find Offered Subjects</x:v>
      </x:c>
      <x:c r="F80" t="str">
        <x:v>Assist</x:v>
      </x:c>
      <x:c r="G80" t="n">
        <x:v>1</x:v>
      </x:c>
      <x:c r="H80" s="16" t="str">
        <x:v>Task completed smoothly after brief exploration.</x:v>
      </x:c>
    </x:row>
    <x:row r="81">
      <x:c r="A81" t="n">
        <x:v>8</x:v>
      </x:c>
      <x:c r="B81" t="str">
        <x:v>Computer</x:v>
      </x:c>
      <x:c r="C81" t="str">
        <x:v>Female</x:v>
      </x:c>
      <x:c r="D81" t="n">
        <x:v>60</x:v>
      </x:c>
      <x:c r="E81" t="str">
        <x:v>Navigate Clearance</x:v>
      </x:c>
      <x:c r="F81" t="str">
        <x:v>Pass</x:v>
      </x:c>
      <x:c r="G81" t="n">
        <x:v>2</x:v>
      </x:c>
      <x:c r="H81" s="16" t="str">
        <x:v>User hesitated while locating navigation tabs.</x:v>
      </x:c>
    </x:row>
    <x:row r="82">
      <x:c r="A82" t="n">
        <x:v>8</x:v>
      </x:c>
      <x:c r="B82" t="str">
        <x:v>Computer</x:v>
      </x:c>
      <x:c r="C82" t="str">
        <x:v>Female</x:v>
      </x:c>
      <x:c r="D82" t="n">
        <x:v>60</x:v>
      </x:c>
      <x:c r="E82" t="str">
        <x:v>View account information</x:v>
      </x:c>
      <x:c r="F82" t="str">
        <x:v>Pass</x:v>
      </x:c>
      <x:c r="G82" t="n">
        <x:v>0</x:v>
      </x:c>
      <x:c r="H82" s="16" t="str">
        <x:v>Navigation felt confusing at first.</x:v>
      </x:c>
    </x:row>
    <x:row r="83">
      <x:c r="A83" t="n">
        <x:v>9</x:v>
      </x:c>
      <x:c r="B83" t="str">
        <x:v>Computer</x:v>
      </x:c>
      <x:c r="C83" t="str">
        <x:v>Male</x:v>
      </x:c>
      <x:c r="D83" t="n">
        <x:v>42.5</x:v>
      </x:c>
      <x:c r="E83" t="str">
        <x:v>View offered subjects</x:v>
      </x:c>
      <x:c r="F83" t="str">
        <x:v>Pass</x:v>
      </x:c>
      <x:c r="G83" t="n">
        <x:v>0</x:v>
      </x:c>
      <x:c r="H83" s="16" t="str">
        <x:v>User hesitated while locating navigation tabs.</x:v>
      </x:c>
    </x:row>
    <x:row r="84">
      <x:c r="A84" t="n">
        <x:v>9</x:v>
      </x:c>
      <x:c r="B84" t="str">
        <x:v>Computer</x:v>
      </x:c>
      <x:c r="C84" t="str">
        <x:v>Male</x:v>
      </x:c>
      <x:c r="D84" t="n">
        <x:v>42.5</x:v>
      </x:c>
      <x:c r="E84" t="str">
        <x:v>Navigate to Home page</x:v>
      </x:c>
      <x:c r="F84" t="str">
        <x:v>Fail</x:v>
      </x:c>
      <x:c r="G84" t="n">
        <x:v>3</x:v>
      </x:c>
      <x:c r="H84" s="16" t="str">
        <x:v>Task completed smoothly after brief exploration.</x:v>
      </x:c>
    </x:row>
    <x:row r="85">
      <x:c r="A85" t="n">
        <x:v>9</x:v>
      </x:c>
      <x:c r="B85" t="str">
        <x:v>Computer</x:v>
      </x:c>
      <x:c r="C85" t="str">
        <x:v>Male</x:v>
      </x:c>
      <x:c r="D85" t="n">
        <x:v>42.5</x:v>
      </x:c>
      <x:c r="E85" t="str">
        <x:v>Login using credentials</x:v>
      </x:c>
      <x:c r="F85" t="str">
        <x:v>Pass</x:v>
      </x:c>
      <x:c r="G85" t="n">
        <x:v>2</x:v>
      </x:c>
      <x:c r="H85" s="16" t="str">
        <x:v>Navigation felt confusing at first.</x:v>
      </x:c>
    </x:row>
    <x:row r="86">
      <x:c r="A86" t="n">
        <x:v>9</x:v>
      </x:c>
      <x:c r="B86" t="str">
        <x:v>Computer</x:v>
      </x:c>
      <x:c r="C86" t="str">
        <x:v>Male</x:v>
      </x:c>
      <x:c r="D86" t="n">
        <x:v>42.5</x:v>
      </x:c>
      <x:c r="E86" t="str">
        <x:v>Attempt logout</x:v>
      </x:c>
      <x:c r="F86" t="str">
        <x:v>Pass</x:v>
      </x:c>
      <x:c r="G86" t="n">
        <x:v>1</x:v>
      </x:c>
      <x:c r="H86" s="16" t="str">
        <x:v>Participant accidentally clicked logout button.</x:v>
      </x:c>
    </x:row>
    <x:row r="87">
      <x:c r="A87" t="n">
        <x:v>9</x:v>
      </x:c>
      <x:c r="B87" t="str">
        <x:v>Computer</x:v>
      </x:c>
      <x:c r="C87" t="str">
        <x:v>Male</x:v>
      </x:c>
      <x:c r="D87" t="n">
        <x:v>42.5</x:v>
      </x:c>
      <x:c r="E87" t="str">
        <x:v>Return to login page</x:v>
      </x:c>
      <x:c r="F87" t="str">
        <x:v>Assist</x:v>
      </x:c>
      <x:c r="G87" t="n">
        <x:v>1</x:v>
      </x:c>
      <x:c r="H87" s="16" t="str">
        <x:v>User hesitated while locating navigation tabs.</x:v>
      </x:c>
    </x:row>
    <x:row r="88">
      <x:c r="A88" t="n">
        <x:v>9</x:v>
      </x:c>
      <x:c r="B88" t="str">
        <x:v>Computer</x:v>
      </x:c>
      <x:c r="C88" t="str">
        <x:v>Male</x:v>
      </x:c>
      <x:c r="D88" t="n">
        <x:v>42.5</x:v>
      </x:c>
      <x:c r="E88" t="str">
        <x:v>Login again</x:v>
      </x:c>
      <x:c r="F88" t="str">
        <x:v>Fail</x:v>
      </x:c>
      <x:c r="G88" t="n">
        <x:v>1</x:v>
      </x:c>
      <x:c r="H88" s="16" t="str">
        <x:v>Participant accidentally clicked logout button.</x:v>
      </x:c>
    </x:row>
    <x:row r="89">
      <x:c r="A89" t="n">
        <x:v>9</x:v>
      </x:c>
      <x:c r="B89" t="str">
        <x:v>Computer</x:v>
      </x:c>
      <x:c r="C89" t="str">
        <x:v>Male</x:v>
      </x:c>
      <x:c r="D89" t="n">
        <x:v>42.5</x:v>
      </x:c>
      <x:c r="E89" t="str">
        <x:v>Open My Account</x:v>
      </x:c>
      <x:c r="F89" t="str">
        <x:v>Pass</x:v>
      </x:c>
      <x:c r="G89" t="n">
        <x:v>3</x:v>
      </x:c>
      <x:c r="H89" s="16" t="str">
        <x:v>Participant accidentally clicked logout button.</x:v>
      </x:c>
    </x:row>
    <x:row r="90">
      <x:c r="A90" t="n">
        <x:v>9</x:v>
      </x:c>
      <x:c r="B90" t="str">
        <x:v>Computer</x:v>
      </x:c>
      <x:c r="C90" t="str">
        <x:v>Male</x:v>
      </x:c>
      <x:c r="D90" t="n">
        <x:v>42.5</x:v>
      </x:c>
      <x:c r="E90" t="str">
        <x:v>Find Offered Subjects</x:v>
      </x:c>
      <x:c r="F90" t="str">
        <x:v>Pass</x:v>
      </x:c>
      <x:c r="G90" t="n">
        <x:v>1</x:v>
      </x:c>
      <x:c r="H90" s="16" t="str">
        <x:v>Navigation felt confusing at first.</x:v>
      </x:c>
    </x:row>
    <x:row r="91">
      <x:c r="A91" t="n">
        <x:v>9</x:v>
      </x:c>
      <x:c r="B91" t="str">
        <x:v>Computer</x:v>
      </x:c>
      <x:c r="C91" t="str">
        <x:v>Male</x:v>
      </x:c>
      <x:c r="D91" t="n">
        <x:v>42.5</x:v>
      </x:c>
      <x:c r="E91" t="str">
        <x:v>Navigate Clearance</x:v>
      </x:c>
      <x:c r="F91" t="str">
        <x:v>Pass</x:v>
      </x:c>
      <x:c r="G91" t="n">
        <x:v>1</x:v>
      </x:c>
      <x:c r="H91" s="16" t="str">
        <x:v>User relied on trial and error to proceed.</x:v>
      </x:c>
    </x:row>
    <x:row r="92">
      <x:c r="A92" t="n">
        <x:v>9</x:v>
      </x:c>
      <x:c r="B92" t="str">
        <x:v>Computer</x:v>
      </x:c>
      <x:c r="C92" t="str">
        <x:v>Male</x:v>
      </x:c>
      <x:c r="D92" t="n">
        <x:v>42.5</x:v>
      </x:c>
      <x:c r="E92" t="str">
        <x:v>View account information</x:v>
      </x:c>
      <x:c r="F92" t="str">
        <x:v>Fail</x:v>
      </x:c>
      <x:c r="G92" t="n">
        <x:v>0</x:v>
      </x:c>
      <x:c r="H92" s="16" t="str">
        <x:v>Participant accidentally clicked logout button.</x:v>
      </x:c>
    </x:row>
    <x:row r="93">
      <x:c r="A93" t="n">
        <x:v>10</x:v>
      </x:c>
      <x:c r="B93" t="str">
        <x:v>Mobile</x:v>
      </x:c>
      <x:c r="C93" t="str">
        <x:v>Female</x:v>
      </x:c>
      <x:c r="D93" t="n">
        <x:v>40</x:v>
      </x:c>
      <x:c r="E93" t="str">
        <x:v>View offered subjects</x:v>
      </x:c>
      <x:c r="F93" t="str">
        <x:v>Pass</x:v>
      </x:c>
      <x:c r="G93" t="n">
        <x:v>3</x:v>
      </x:c>
      <x:c r="H93" s="16" t="str">
        <x:v>Task completed smoothly after brief exploration.</x:v>
      </x:c>
    </x:row>
    <x:row r="94">
      <x:c r="A94" t="n">
        <x:v>10</x:v>
      </x:c>
      <x:c r="B94" t="str">
        <x:v>Mobile</x:v>
      </x:c>
      <x:c r="C94" t="str">
        <x:v>Female</x:v>
      </x:c>
      <x:c r="D94" t="n">
        <x:v>40</x:v>
      </x:c>
      <x:c r="E94" t="str">
        <x:v>Navigate to Home page</x:v>
      </x:c>
      <x:c r="F94" t="str">
        <x:v>Pass</x:v>
      </x:c>
      <x:c r="G94" t="n">
        <x:v>0</x:v>
      </x:c>
      <x:c r="H94" s="16" t="str">
        <x:v>Small text caused readability issues.</x:v>
      </x:c>
    </x:row>
    <x:row r="95">
      <x:c r="A95" t="n">
        <x:v>10</x:v>
      </x:c>
      <x:c r="B95" t="str">
        <x:v>Mobile</x:v>
      </x:c>
      <x:c r="C95" t="str">
        <x:v>Female</x:v>
      </x:c>
      <x:c r="D95" t="n">
        <x:v>40</x:v>
      </x:c>
      <x:c r="E95" t="str">
        <x:v>Login using credentials</x:v>
      </x:c>
      <x:c r="F95" t="str">
        <x:v>Fail</x:v>
      </x:c>
      <x:c r="G95" t="n">
        <x:v>0</x:v>
      </x:c>
      <x:c r="H95" s="16" t="str">
        <x:v>Participant accidentally clicked logout button.</x:v>
      </x:c>
    </x:row>
    <x:row r="96">
      <x:c r="A96" t="n">
        <x:v>10</x:v>
      </x:c>
      <x:c r="B96" t="str">
        <x:v>Mobile</x:v>
      </x:c>
      <x:c r="C96" t="str">
        <x:v>Female</x:v>
      </x:c>
      <x:c r="D96" t="n">
        <x:v>40</x:v>
      </x:c>
      <x:c r="E96" t="str">
        <x:v>Attempt logout</x:v>
      </x:c>
      <x:c r="F96" t="str">
        <x:v>Pass</x:v>
      </x:c>
      <x:c r="G96" t="n">
        <x:v>3</x:v>
      </x:c>
      <x:c r="H96" s="16" t="str">
        <x:v>Navigation felt confusing at first.</x:v>
      </x:c>
    </x:row>
    <x:row r="97">
      <x:c r="A97" t="n">
        <x:v>10</x:v>
      </x:c>
      <x:c r="B97" t="str">
        <x:v>Mobile</x:v>
      </x:c>
      <x:c r="C97" t="str">
        <x:v>Female</x:v>
      </x:c>
      <x:c r="D97" t="n">
        <x:v>40</x:v>
      </x:c>
      <x:c r="E97" t="str">
        <x:v>Return to login page</x:v>
      </x:c>
      <x:c r="F97" t="str">
        <x:v>Fail</x:v>
      </x:c>
      <x:c r="G97" t="n">
        <x:v>0</x:v>
      </x:c>
      <x:c r="H97" s="16" t="str">
        <x:v>Participant accidentally clicked logout button.</x:v>
      </x:c>
    </x:row>
    <x:row r="98">
      <x:c r="A98" t="n">
        <x:v>10</x:v>
      </x:c>
      <x:c r="B98" t="str">
        <x:v>Mobile</x:v>
      </x:c>
      <x:c r="C98" t="str">
        <x:v>Female</x:v>
      </x:c>
      <x:c r="D98" t="n">
        <x:v>40</x:v>
      </x:c>
      <x:c r="E98" t="str">
        <x:v>Login again</x:v>
      </x:c>
      <x:c r="F98" t="str">
        <x:v>Pass</x:v>
      </x:c>
      <x:c r="G98" t="n">
        <x:v>1</x:v>
      </x:c>
      <x:c r="H98" s="16" t="str">
        <x:v>Task completed smoothly after brief exploration.</x:v>
      </x:c>
    </x:row>
    <x:row r="99">
      <x:c r="A99" t="n">
        <x:v>10</x:v>
      </x:c>
      <x:c r="B99" t="str">
        <x:v>Mobile</x:v>
      </x:c>
      <x:c r="C99" t="str">
        <x:v>Female</x:v>
      </x:c>
      <x:c r="D99" t="n">
        <x:v>40</x:v>
      </x:c>
      <x:c r="E99" t="str">
        <x:v>Open My Account</x:v>
      </x:c>
      <x:c r="F99" t="str">
        <x:v>Assist</x:v>
      </x:c>
      <x:c r="G99" t="n">
        <x:v>0</x:v>
      </x:c>
      <x:c r="H99" s="16" t="str">
        <x:v>User hesitated while locating navigation tabs.</x:v>
      </x:c>
    </x:row>
    <x:row r="100">
      <x:c r="A100" t="n">
        <x:v>10</x:v>
      </x:c>
      <x:c r="B100" t="str">
        <x:v>Mobile</x:v>
      </x:c>
      <x:c r="C100" t="str">
        <x:v>Female</x:v>
      </x:c>
      <x:c r="D100" t="n">
        <x:v>40</x:v>
      </x:c>
      <x:c r="E100" t="str">
        <x:v>Find Offered Subjects</x:v>
      </x:c>
      <x:c r="F100" t="str">
        <x:v>Pass</x:v>
      </x:c>
      <x:c r="G100" t="n">
        <x:v>0</x:v>
      </x:c>
      <x:c r="H100" s="16" t="str">
        <x:v>User hesitated while locating navigation tabs.</x:v>
      </x:c>
    </x:row>
    <x:row r="101">
      <x:c r="A101" t="n">
        <x:v>10</x:v>
      </x:c>
      <x:c r="B101" t="str">
        <x:v>Mobile</x:v>
      </x:c>
      <x:c r="C101" t="str">
        <x:v>Female</x:v>
      </x:c>
      <x:c r="D101" t="n">
        <x:v>40</x:v>
      </x:c>
      <x:c r="E101" t="str">
        <x:v>Navigate Clearance</x:v>
      </x:c>
      <x:c r="F101" t="str">
        <x:v>Pass</x:v>
      </x:c>
      <x:c r="G101" t="n">
        <x:v>2</x:v>
      </x:c>
      <x:c r="H101" s="16" t="str">
        <x:v>Task completed smoothly after brief exploration.</x:v>
      </x:c>
    </x:row>
    <x:row r="102">
      <x:c r="A102" t="n">
        <x:v>10</x:v>
      </x:c>
      <x:c r="B102" t="str">
        <x:v>Mobile</x:v>
      </x:c>
      <x:c r="C102" t="str">
        <x:v>Female</x:v>
      </x:c>
      <x:c r="D102" t="n">
        <x:v>40</x:v>
      </x:c>
      <x:c r="E102" t="str">
        <x:v>View account information</x:v>
      </x:c>
      <x:c r="F102" t="str">
        <x:v>Pass</x:v>
      </x:c>
      <x:c r="G102" t="n">
        <x:v>1</x:v>
      </x:c>
      <x:c r="H102" s="16" t="str">
        <x:v>Small text caused readability issues.</x:v>
      </x:c>
    </x:row>
    <x:row r="103">
      <x:c r="A103" t="n">
        <x:v>11</x:v>
      </x:c>
      <x:c r="B103" t="str">
        <x:v>Computer</x:v>
      </x:c>
      <x:c r="C103" t="str">
        <x:v>Male</x:v>
      </x:c>
      <x:c r="D103" t="n">
        <x:v>55</x:v>
      </x:c>
      <x:c r="E103" t="str">
        <x:v>View offered subjects</x:v>
      </x:c>
      <x:c r="F103" t="str">
        <x:v>Assist</x:v>
      </x:c>
      <x:c r="G103" t="n">
        <x:v>3</x:v>
      </x:c>
      <x:c r="H103" s="16" t="str">
        <x:v>Participant accidentally clicked logout button.</x:v>
      </x:c>
    </x:row>
    <x:row r="104">
      <x:c r="A104" t="n">
        <x:v>11</x:v>
      </x:c>
      <x:c r="B104" t="str">
        <x:v>Computer</x:v>
      </x:c>
      <x:c r="C104" t="str">
        <x:v>Male</x:v>
      </x:c>
      <x:c r="D104" t="n">
        <x:v>55</x:v>
      </x:c>
      <x:c r="E104" t="str">
        <x:v>Navigate to Home page</x:v>
      </x:c>
      <x:c r="F104" t="str">
        <x:v>Pass</x:v>
      </x:c>
      <x:c r="G104" t="n">
        <x:v>1</x:v>
      </x:c>
      <x:c r="H104" s="16" t="str">
        <x:v>Small text caused readability issues.</x:v>
      </x:c>
    </x:row>
    <x:row r="105">
      <x:c r="A105" t="n">
        <x:v>11</x:v>
      </x:c>
      <x:c r="B105" t="str">
        <x:v>Computer</x:v>
      </x:c>
      <x:c r="C105" t="str">
        <x:v>Male</x:v>
      </x:c>
      <x:c r="D105" t="n">
        <x:v>55</x:v>
      </x:c>
      <x:c r="E105" t="str">
        <x:v>Login using credentials</x:v>
      </x:c>
      <x:c r="F105" t="str">
        <x:v>Fail</x:v>
      </x:c>
      <x:c r="G105" t="n">
        <x:v>3</x:v>
      </x:c>
      <x:c r="H105" s="16" t="str">
        <x:v>User relied on trial and error to proceed.</x:v>
      </x:c>
    </x:row>
    <x:row r="106">
      <x:c r="A106" t="n">
        <x:v>11</x:v>
      </x:c>
      <x:c r="B106" t="str">
        <x:v>Computer</x:v>
      </x:c>
      <x:c r="C106" t="str">
        <x:v>Male</x:v>
      </x:c>
      <x:c r="D106" t="n">
        <x:v>55</x:v>
      </x:c>
      <x:c r="E106" t="str">
        <x:v>Attempt logout</x:v>
      </x:c>
      <x:c r="F106" t="str">
        <x:v>Fail</x:v>
      </x:c>
      <x:c r="G106" t="n">
        <x:v>1</x:v>
      </x:c>
      <x:c r="H106" s="16" t="str">
        <x:v>Participant accidentally clicked logout button.</x:v>
      </x:c>
    </x:row>
    <x:row r="107">
      <x:c r="A107" t="n">
        <x:v>11</x:v>
      </x:c>
      <x:c r="B107" t="str">
        <x:v>Computer</x:v>
      </x:c>
      <x:c r="C107" t="str">
        <x:v>Male</x:v>
      </x:c>
      <x:c r="D107" t="n">
        <x:v>55</x:v>
      </x:c>
      <x:c r="E107" t="str">
        <x:v>Return to login page</x:v>
      </x:c>
      <x:c r="F107" t="str">
        <x:v>Pass</x:v>
      </x:c>
      <x:c r="G107" t="n">
        <x:v>0</x:v>
      </x:c>
      <x:c r="H107" s="16" t="str">
        <x:v>User relied on trial and error to proceed.</x:v>
      </x:c>
    </x:row>
    <x:row r="108">
      <x:c r="A108" t="n">
        <x:v>11</x:v>
      </x:c>
      <x:c r="B108" t="str">
        <x:v>Computer</x:v>
      </x:c>
      <x:c r="C108" t="str">
        <x:v>Male</x:v>
      </x:c>
      <x:c r="D108" t="n">
        <x:v>55</x:v>
      </x:c>
      <x:c r="E108" t="str">
        <x:v>Login again</x:v>
      </x:c>
      <x:c r="F108" t="str">
        <x:v>Pass</x:v>
      </x:c>
      <x:c r="G108" t="n">
        <x:v>1</x:v>
      </x:c>
      <x:c r="H108" s="16" t="str">
        <x:v>Task completed smoothly after brief exploration.</x:v>
      </x:c>
    </x:row>
    <x:row r="109">
      <x:c r="A109" t="n">
        <x:v>11</x:v>
      </x:c>
      <x:c r="B109" t="str">
        <x:v>Computer</x:v>
      </x:c>
      <x:c r="C109" t="str">
        <x:v>Male</x:v>
      </x:c>
      <x:c r="D109" t="n">
        <x:v>55</x:v>
      </x:c>
      <x:c r="E109" t="str">
        <x:v>Open My Account</x:v>
      </x:c>
      <x:c r="F109" t="str">
        <x:v>Fail</x:v>
      </x:c>
      <x:c r="G109" t="n">
        <x:v>2</x:v>
      </x:c>
      <x:c r="H109" s="16" t="str">
        <x:v>User hesitated while locating navigation tabs.</x:v>
      </x:c>
    </x:row>
    <x:row r="110">
      <x:c r="A110" t="n">
        <x:v>11</x:v>
      </x:c>
      <x:c r="B110" t="str">
        <x:v>Computer</x:v>
      </x:c>
      <x:c r="C110" t="str">
        <x:v>Male</x:v>
      </x:c>
      <x:c r="D110" t="n">
        <x:v>55</x:v>
      </x:c>
      <x:c r="E110" t="str">
        <x:v>Find Offered Subjects</x:v>
      </x:c>
      <x:c r="F110" t="str">
        <x:v>Assist</x:v>
      </x:c>
      <x:c r="G110" t="n">
        <x:v>0</x:v>
      </x:c>
      <x:c r="H110" s="16" t="str">
        <x:v>Participant accidentally clicked logout button.</x:v>
      </x:c>
    </x:row>
    <x:row r="111">
      <x:c r="A111" t="n">
        <x:v>11</x:v>
      </x:c>
      <x:c r="B111" t="str">
        <x:v>Computer</x:v>
      </x:c>
      <x:c r="C111" t="str">
        <x:v>Male</x:v>
      </x:c>
      <x:c r="D111" t="n">
        <x:v>55</x:v>
      </x:c>
      <x:c r="E111" t="str">
        <x:v>Navigate Clearance</x:v>
      </x:c>
      <x:c r="F111" t="str">
        <x:v>Pass</x:v>
      </x:c>
      <x:c r="G111" t="n">
        <x:v>3</x:v>
      </x:c>
      <x:c r="H111" s="16" t="str">
        <x:v>Small text caused readability issues.</x:v>
      </x:c>
    </x:row>
    <x:row r="112">
      <x:c r="A112" t="n">
        <x:v>11</x:v>
      </x:c>
      <x:c r="B112" t="str">
        <x:v>Computer</x:v>
      </x:c>
      <x:c r="C112" t="str">
        <x:v>Male</x:v>
      </x:c>
      <x:c r="D112" t="n">
        <x:v>55</x:v>
      </x:c>
      <x:c r="E112" t="str">
        <x:v>View account information</x:v>
      </x:c>
      <x:c r="F112" t="str">
        <x:v>Assist</x:v>
      </x:c>
      <x:c r="G112" t="n">
        <x:v>0</x:v>
      </x:c>
      <x:c r="H112" s="16" t="str">
        <x:v>Participant accidentally clicked logout button.</x:v>
      </x:c>
    </x:row>
    <x:row r="113">
      <x:c r="A113" t="n">
        <x:v>12</x:v>
      </x:c>
      <x:c r="B113" t="str">
        <x:v>Mobile</x:v>
      </x:c>
      <x:c r="C113" t="str">
        <x:v>Female</x:v>
      </x:c>
      <x:c r="D113" t="n">
        <x:v>60</x:v>
      </x:c>
      <x:c r="E113" t="str">
        <x:v>View offered subjects</x:v>
      </x:c>
      <x:c r="F113" t="str">
        <x:v>Pass</x:v>
      </x:c>
      <x:c r="G113" t="n">
        <x:v>1</x:v>
      </x:c>
      <x:c r="H113" s="16" t="str">
        <x:v>Task completed smoothly after brief exploration.</x:v>
      </x:c>
    </x:row>
    <x:row r="114">
      <x:c r="A114" t="n">
        <x:v>12</x:v>
      </x:c>
      <x:c r="B114" t="str">
        <x:v>Mobile</x:v>
      </x:c>
      <x:c r="C114" t="str">
        <x:v>Female</x:v>
      </x:c>
      <x:c r="D114" t="n">
        <x:v>60</x:v>
      </x:c>
      <x:c r="E114" t="str">
        <x:v>Navigate to Home page</x:v>
      </x:c>
      <x:c r="F114" t="str">
        <x:v>Assist</x:v>
      </x:c>
      <x:c r="G114" t="n">
        <x:v>2</x:v>
      </x:c>
      <x:c r="H114" s="16" t="str">
        <x:v>Participant accidentally clicked logout button.</x:v>
      </x:c>
    </x:row>
    <x:row r="115">
      <x:c r="A115" t="n">
        <x:v>12</x:v>
      </x:c>
      <x:c r="B115" t="str">
        <x:v>Mobile</x:v>
      </x:c>
      <x:c r="C115" t="str">
        <x:v>Female</x:v>
      </x:c>
      <x:c r="D115" t="n">
        <x:v>60</x:v>
      </x:c>
      <x:c r="E115" t="str">
        <x:v>Login using credentials</x:v>
      </x:c>
      <x:c r="F115" t="str">
        <x:v>Assist</x:v>
      </x:c>
      <x:c r="G115" t="n">
        <x:v>1</x:v>
      </x:c>
      <x:c r="H115" s="16" t="str">
        <x:v>User hesitated while locating navigation tabs.</x:v>
      </x:c>
    </x:row>
    <x:row r="116">
      <x:c r="A116" t="n">
        <x:v>12</x:v>
      </x:c>
      <x:c r="B116" t="str">
        <x:v>Mobile</x:v>
      </x:c>
      <x:c r="C116" t="str">
        <x:v>Female</x:v>
      </x:c>
      <x:c r="D116" t="n">
        <x:v>60</x:v>
      </x:c>
      <x:c r="E116" t="str">
        <x:v>Attempt logout</x:v>
      </x:c>
      <x:c r="F116" t="str">
        <x:v>Pass</x:v>
      </x:c>
      <x:c r="G116" t="n">
        <x:v>3</x:v>
      </x:c>
      <x:c r="H116" s="16" t="str">
        <x:v>User relied on trial and error to proceed.</x:v>
      </x:c>
    </x:row>
    <x:row r="117">
      <x:c r="A117" t="n">
        <x:v>12</x:v>
      </x:c>
      <x:c r="B117" t="str">
        <x:v>Mobile</x:v>
      </x:c>
      <x:c r="C117" t="str">
        <x:v>Female</x:v>
      </x:c>
      <x:c r="D117" t="n">
        <x:v>60</x:v>
      </x:c>
      <x:c r="E117" t="str">
        <x:v>Return to login page</x:v>
      </x:c>
      <x:c r="F117" t="str">
        <x:v>Pass</x:v>
      </x:c>
      <x:c r="G117" t="n">
        <x:v>3</x:v>
      </x:c>
      <x:c r="H117" s="16" t="str">
        <x:v>User relied on trial and error to proceed.</x:v>
      </x:c>
    </x:row>
    <x:row r="118">
      <x:c r="A118" t="n">
        <x:v>12</x:v>
      </x:c>
      <x:c r="B118" t="str">
        <x:v>Mobile</x:v>
      </x:c>
      <x:c r="C118" t="str">
        <x:v>Female</x:v>
      </x:c>
      <x:c r="D118" t="n">
        <x:v>60</x:v>
      </x:c>
      <x:c r="E118" t="str">
        <x:v>Login again</x:v>
      </x:c>
      <x:c r="F118" t="str">
        <x:v>Pass</x:v>
      </x:c>
      <x:c r="G118" t="n">
        <x:v>3</x:v>
      </x:c>
      <x:c r="H118" s="16" t="str">
        <x:v>Navigation felt confusing at first.</x:v>
      </x:c>
    </x:row>
    <x:row r="119">
      <x:c r="A119" t="n">
        <x:v>12</x:v>
      </x:c>
      <x:c r="B119" t="str">
        <x:v>Mobile</x:v>
      </x:c>
      <x:c r="C119" t="str">
        <x:v>Female</x:v>
      </x:c>
      <x:c r="D119" t="n">
        <x:v>60</x:v>
      </x:c>
      <x:c r="E119" t="str">
        <x:v>Open My Account</x:v>
      </x:c>
      <x:c r="F119" t="str">
        <x:v>Fail</x:v>
      </x:c>
      <x:c r="G119" t="n">
        <x:v>1</x:v>
      </x:c>
      <x:c r="H119" s="16" t="str">
        <x:v>Small text caused readability issues.</x:v>
      </x:c>
    </x:row>
    <x:row r="120">
      <x:c r="A120" t="n">
        <x:v>12</x:v>
      </x:c>
      <x:c r="B120" t="str">
        <x:v>Mobile</x:v>
      </x:c>
      <x:c r="C120" t="str">
        <x:v>Female</x:v>
      </x:c>
      <x:c r="D120" t="n">
        <x:v>60</x:v>
      </x:c>
      <x:c r="E120" t="str">
        <x:v>Find Offered Subjects</x:v>
      </x:c>
      <x:c r="F120" t="str">
        <x:v>Pass</x:v>
      </x:c>
      <x:c r="G120" t="n">
        <x:v>3</x:v>
      </x:c>
      <x:c r="H120" s="16" t="str">
        <x:v>User relied on trial and error to proceed.</x:v>
      </x:c>
    </x:row>
    <x:row r="121">
      <x:c r="A121" t="n">
        <x:v>12</x:v>
      </x:c>
      <x:c r="B121" t="str">
        <x:v>Mobile</x:v>
      </x:c>
      <x:c r="C121" t="str">
        <x:v>Female</x:v>
      </x:c>
      <x:c r="D121" t="n">
        <x:v>60</x:v>
      </x:c>
      <x:c r="E121" t="str">
        <x:v>Navigate Clearance</x:v>
      </x:c>
      <x:c r="F121" t="str">
        <x:v>Pass</x:v>
      </x:c>
      <x:c r="G121" t="n">
        <x:v>1</x:v>
      </x:c>
      <x:c r="H121" s="16" t="str">
        <x:v>Small text caused readability issues.</x:v>
      </x:c>
    </x:row>
    <x:row r="122">
      <x:c r="A122" t="n">
        <x:v>12</x:v>
      </x:c>
      <x:c r="B122" t="str">
        <x:v>Mobile</x:v>
      </x:c>
      <x:c r="C122" t="str">
        <x:v>Female</x:v>
      </x:c>
      <x:c r="D122" t="n">
        <x:v>60</x:v>
      </x:c>
      <x:c r="E122" t="str">
        <x:v>View account information</x:v>
      </x:c>
      <x:c r="F122" t="str">
        <x:v>Assist</x:v>
      </x:c>
      <x:c r="G122" t="n">
        <x:v>1</x:v>
      </x:c>
      <x:c r="H122" s="16" t="str">
        <x:v>Participant accidentally clicked logout button.</x:v>
      </x:c>
    </x:row>
    <x:row r="123">
      <x:c r="A123" t="n">
        <x:v>13</x:v>
      </x:c>
      <x:c r="B123" t="str">
        <x:v>Mobile</x:v>
      </x:c>
      <x:c r="C123" t="str">
        <x:v>Male</x:v>
      </x:c>
      <x:c r="D123" t="n">
        <x:v>45</x:v>
      </x:c>
      <x:c r="E123" t="str">
        <x:v>View offered subjects</x:v>
      </x:c>
      <x:c r="F123" t="str">
        <x:v>Pass</x:v>
      </x:c>
      <x:c r="G123" t="n">
        <x:v>2</x:v>
      </x:c>
      <x:c r="H123" s="16" t="str">
        <x:v>Task completed smoothly after brief exploration.</x:v>
      </x:c>
    </x:row>
    <x:row r="124">
      <x:c r="A124" t="n">
        <x:v>13</x:v>
      </x:c>
      <x:c r="B124" t="str">
        <x:v>Mobile</x:v>
      </x:c>
      <x:c r="C124" t="str">
        <x:v>Male</x:v>
      </x:c>
      <x:c r="D124" t="n">
        <x:v>45</x:v>
      </x:c>
      <x:c r="E124" t="str">
        <x:v>Navigate to Home page</x:v>
      </x:c>
      <x:c r="F124" t="str">
        <x:v>Fail</x:v>
      </x:c>
      <x:c r="G124" t="n">
        <x:v>1</x:v>
      </x:c>
      <x:c r="H124" s="16" t="str">
        <x:v>Task completed smoothly after brief exploration.</x:v>
      </x:c>
    </x:row>
    <x:row r="125">
      <x:c r="A125" t="n">
        <x:v>13</x:v>
      </x:c>
      <x:c r="B125" t="str">
        <x:v>Mobile</x:v>
      </x:c>
      <x:c r="C125" t="str">
        <x:v>Male</x:v>
      </x:c>
      <x:c r="D125" t="n">
        <x:v>45</x:v>
      </x:c>
      <x:c r="E125" t="str">
        <x:v>Login using credentials</x:v>
      </x:c>
      <x:c r="F125" t="str">
        <x:v>Pass</x:v>
      </x:c>
      <x:c r="G125" t="n">
        <x:v>1</x:v>
      </x:c>
      <x:c r="H125" s="16" t="str">
        <x:v>Navigation felt confusing at first.</x:v>
      </x:c>
    </x:row>
    <x:row r="126">
      <x:c r="A126" t="n">
        <x:v>13</x:v>
      </x:c>
      <x:c r="B126" t="str">
        <x:v>Mobile</x:v>
      </x:c>
      <x:c r="C126" t="str">
        <x:v>Male</x:v>
      </x:c>
      <x:c r="D126" t="n">
        <x:v>45</x:v>
      </x:c>
      <x:c r="E126" t="str">
        <x:v>Attempt logout</x:v>
      </x:c>
      <x:c r="F126" t="str">
        <x:v>Pass</x:v>
      </x:c>
      <x:c r="G126" t="n">
        <x:v>3</x:v>
      </x:c>
      <x:c r="H126" s="16" t="str">
        <x:v>Task completed smoothly after brief exploration.</x:v>
      </x:c>
    </x:row>
    <x:row r="127">
      <x:c r="A127" t="n">
        <x:v>13</x:v>
      </x:c>
      <x:c r="B127" t="str">
        <x:v>Mobile</x:v>
      </x:c>
      <x:c r="C127" t="str">
        <x:v>Male</x:v>
      </x:c>
      <x:c r="D127" t="n">
        <x:v>45</x:v>
      </x:c>
      <x:c r="E127" t="str">
        <x:v>Return to login page</x:v>
      </x:c>
      <x:c r="F127" t="str">
        <x:v>Pass</x:v>
      </x:c>
      <x:c r="G127" t="n">
        <x:v>3</x:v>
      </x:c>
      <x:c r="H127" s="16" t="str">
        <x:v>Small text caused readability issues.</x:v>
      </x:c>
    </x:row>
    <x:row r="128">
      <x:c r="A128" t="n">
        <x:v>13</x:v>
      </x:c>
      <x:c r="B128" t="str">
        <x:v>Mobile</x:v>
      </x:c>
      <x:c r="C128" t="str">
        <x:v>Male</x:v>
      </x:c>
      <x:c r="D128" t="n">
        <x:v>45</x:v>
      </x:c>
      <x:c r="E128" t="str">
        <x:v>Login again</x:v>
      </x:c>
      <x:c r="F128" t="str">
        <x:v>Pass</x:v>
      </x:c>
      <x:c r="G128" t="n">
        <x:v>2</x:v>
      </x:c>
      <x:c r="H128" s="16" t="str">
        <x:v>Navigation felt confusing at first.</x:v>
      </x:c>
    </x:row>
    <x:row r="129">
      <x:c r="A129" t="n">
        <x:v>13</x:v>
      </x:c>
      <x:c r="B129" t="str">
        <x:v>Mobile</x:v>
      </x:c>
      <x:c r="C129" t="str">
        <x:v>Male</x:v>
      </x:c>
      <x:c r="D129" t="n">
        <x:v>45</x:v>
      </x:c>
      <x:c r="E129" t="str">
        <x:v>Open My Account</x:v>
      </x:c>
      <x:c r="F129" t="str">
        <x:v>Fail</x:v>
      </x:c>
      <x:c r="G129" t="n">
        <x:v>0</x:v>
      </x:c>
      <x:c r="H129" s="16" t="str">
        <x:v>User relied on trial and error to proceed.</x:v>
      </x:c>
    </x:row>
    <x:row r="130">
      <x:c r="A130" t="n">
        <x:v>13</x:v>
      </x:c>
      <x:c r="B130" t="str">
        <x:v>Mobile</x:v>
      </x:c>
      <x:c r="C130" t="str">
        <x:v>Male</x:v>
      </x:c>
      <x:c r="D130" t="n">
        <x:v>45</x:v>
      </x:c>
      <x:c r="E130" t="str">
        <x:v>Find Offered Subjects</x:v>
      </x:c>
      <x:c r="F130" t="str">
        <x:v>Pass</x:v>
      </x:c>
      <x:c r="G130" t="n">
        <x:v>0</x:v>
      </x:c>
      <x:c r="H130" s="16" t="str">
        <x:v>Participant accidentally clicked logout button.</x:v>
      </x:c>
    </x:row>
    <x:row r="131">
      <x:c r="A131" t="n">
        <x:v>13</x:v>
      </x:c>
      <x:c r="B131" t="str">
        <x:v>Mobile</x:v>
      </x:c>
      <x:c r="C131" t="str">
        <x:v>Male</x:v>
      </x:c>
      <x:c r="D131" t="n">
        <x:v>45</x:v>
      </x:c>
      <x:c r="E131" t="str">
        <x:v>Navigate Clearance</x:v>
      </x:c>
      <x:c r="F131" t="str">
        <x:v>Pass</x:v>
      </x:c>
      <x:c r="G131" t="n">
        <x:v>0</x:v>
      </x:c>
      <x:c r="H131" s="16" t="str">
        <x:v>User relied on trial and error to proceed.</x:v>
      </x:c>
    </x:row>
    <x:row r="132">
      <x:c r="A132" t="n">
        <x:v>13</x:v>
      </x:c>
      <x:c r="B132" t="str">
        <x:v>Mobile</x:v>
      </x:c>
      <x:c r="C132" t="str">
        <x:v>Male</x:v>
      </x:c>
      <x:c r="D132" t="n">
        <x:v>45</x:v>
      </x:c>
      <x:c r="E132" t="str">
        <x:v>View account information</x:v>
      </x:c>
      <x:c r="F132" t="str">
        <x:v>Fail</x:v>
      </x:c>
      <x:c r="G132" t="n">
        <x:v>2</x:v>
      </x:c>
      <x:c r="H132" s="16" t="str">
        <x:v>User hesitated while locating navigation tabs.</x:v>
      </x:c>
    </x:row>
    <x:row r="133">
      <x:c r="A133" t="n">
        <x:v>14</x:v>
      </x:c>
      <x:c r="B133" t="str">
        <x:v>Mobile</x:v>
      </x:c>
      <x:c r="C133" t="str">
        <x:v>Female</x:v>
      </x:c>
      <x:c r="D133" t="n">
        <x:v>40</x:v>
      </x:c>
      <x:c r="E133" t="str">
        <x:v>View offered subjects</x:v>
      </x:c>
      <x:c r="F133" t="str">
        <x:v>Fail</x:v>
      </x:c>
      <x:c r="G133" t="n">
        <x:v>1</x:v>
      </x:c>
      <x:c r="H133" s="16" t="str">
        <x:v>User relied on trial and error to proceed.</x:v>
      </x:c>
    </x:row>
    <x:row r="134">
      <x:c r="A134" t="n">
        <x:v>14</x:v>
      </x:c>
      <x:c r="B134" t="str">
        <x:v>Mobile</x:v>
      </x:c>
      <x:c r="C134" t="str">
        <x:v>Female</x:v>
      </x:c>
      <x:c r="D134" t="n">
        <x:v>40</x:v>
      </x:c>
      <x:c r="E134" t="str">
        <x:v>Navigate to Home page</x:v>
      </x:c>
      <x:c r="F134" t="str">
        <x:v>Pass</x:v>
      </x:c>
      <x:c r="G134" t="n">
        <x:v>3</x:v>
      </x:c>
      <x:c r="H134" s="16" t="str">
        <x:v>Participant accidentally clicked logout button.</x:v>
      </x:c>
    </x:row>
    <x:row r="135">
      <x:c r="A135" t="n">
        <x:v>14</x:v>
      </x:c>
      <x:c r="B135" t="str">
        <x:v>Mobile</x:v>
      </x:c>
      <x:c r="C135" t="str">
        <x:v>Female</x:v>
      </x:c>
      <x:c r="D135" t="n">
        <x:v>40</x:v>
      </x:c>
      <x:c r="E135" t="str">
        <x:v>Login using credentials</x:v>
      </x:c>
      <x:c r="F135" t="str">
        <x:v>Assist</x:v>
      </x:c>
      <x:c r="G135" t="n">
        <x:v>3</x:v>
      </x:c>
      <x:c r="H135" s="16" t="str">
        <x:v>Small text caused readability issues.</x:v>
      </x:c>
    </x:row>
    <x:row r="136">
      <x:c r="A136" t="n">
        <x:v>14</x:v>
      </x:c>
      <x:c r="B136" t="str">
        <x:v>Mobile</x:v>
      </x:c>
      <x:c r="C136" t="str">
        <x:v>Female</x:v>
      </x:c>
      <x:c r="D136" t="n">
        <x:v>40</x:v>
      </x:c>
      <x:c r="E136" t="str">
        <x:v>Attempt logout</x:v>
      </x:c>
      <x:c r="F136" t="str">
        <x:v>Assist</x:v>
      </x:c>
      <x:c r="G136" t="n">
        <x:v>2</x:v>
      </x:c>
      <x:c r="H136" s="16" t="str">
        <x:v>Task completed smoothly after brief exploration.</x:v>
      </x:c>
    </x:row>
    <x:row r="137">
      <x:c r="A137" t="n">
        <x:v>14</x:v>
      </x:c>
      <x:c r="B137" t="str">
        <x:v>Mobile</x:v>
      </x:c>
      <x:c r="C137" t="str">
        <x:v>Female</x:v>
      </x:c>
      <x:c r="D137" t="n">
        <x:v>40</x:v>
      </x:c>
      <x:c r="E137" t="str">
        <x:v>Return to login page</x:v>
      </x:c>
      <x:c r="F137" t="str">
        <x:v>Pass</x:v>
      </x:c>
      <x:c r="G137" t="n">
        <x:v>0</x:v>
      </x:c>
      <x:c r="H137" s="16" t="str">
        <x:v>Small text caused readability issues.</x:v>
      </x:c>
    </x:row>
    <x:row r="138">
      <x:c r="A138" t="n">
        <x:v>14</x:v>
      </x:c>
      <x:c r="B138" t="str">
        <x:v>Mobile</x:v>
      </x:c>
      <x:c r="C138" t="str">
        <x:v>Female</x:v>
      </x:c>
      <x:c r="D138" t="n">
        <x:v>40</x:v>
      </x:c>
      <x:c r="E138" t="str">
        <x:v>Login again</x:v>
      </x:c>
      <x:c r="F138" t="str">
        <x:v>Pass</x:v>
      </x:c>
      <x:c r="G138" t="n">
        <x:v>2</x:v>
      </x:c>
      <x:c r="H138" s="16" t="str">
        <x:v>Small text caused readability issues.</x:v>
      </x:c>
    </x:row>
    <x:row r="139">
      <x:c r="A139" t="n">
        <x:v>14</x:v>
      </x:c>
      <x:c r="B139" t="str">
        <x:v>Mobile</x:v>
      </x:c>
      <x:c r="C139" t="str">
        <x:v>Female</x:v>
      </x:c>
      <x:c r="D139" t="n">
        <x:v>40</x:v>
      </x:c>
      <x:c r="E139" t="str">
        <x:v>Open My Account</x:v>
      </x:c>
      <x:c r="F139" t="str">
        <x:v>Pass</x:v>
      </x:c>
      <x:c r="G139" t="n">
        <x:v>0</x:v>
      </x:c>
      <x:c r="H139" s="16" t="str">
        <x:v>User hesitated while locating navigation tabs.</x:v>
      </x:c>
    </x:row>
    <x:row r="140">
      <x:c r="A140" t="n">
        <x:v>14</x:v>
      </x:c>
      <x:c r="B140" t="str">
        <x:v>Mobile</x:v>
      </x:c>
      <x:c r="C140" t="str">
        <x:v>Female</x:v>
      </x:c>
      <x:c r="D140" t="n">
        <x:v>40</x:v>
      </x:c>
      <x:c r="E140" t="str">
        <x:v>Find Offered Subjects</x:v>
      </x:c>
      <x:c r="F140" t="str">
        <x:v>Pass</x:v>
      </x:c>
      <x:c r="G140" t="n">
        <x:v>3</x:v>
      </x:c>
      <x:c r="H140" s="16" t="str">
        <x:v>User relied on trial and error to proceed.</x:v>
      </x:c>
    </x:row>
    <x:row r="141">
      <x:c r="A141" t="n">
        <x:v>14</x:v>
      </x:c>
      <x:c r="B141" t="str">
        <x:v>Mobile</x:v>
      </x:c>
      <x:c r="C141" t="str">
        <x:v>Female</x:v>
      </x:c>
      <x:c r="D141" t="n">
        <x:v>40</x:v>
      </x:c>
      <x:c r="E141" t="str">
        <x:v>Navigate Clearance</x:v>
      </x:c>
      <x:c r="F141" t="str">
        <x:v>Fail</x:v>
      </x:c>
      <x:c r="G141" t="n">
        <x:v>3</x:v>
      </x:c>
      <x:c r="H141" s="16" t="str">
        <x:v>User relied on trial and error to proceed.</x:v>
      </x:c>
    </x:row>
    <x:row r="142">
      <x:c r="A142" t="n">
        <x:v>14</x:v>
      </x:c>
      <x:c r="B142" t="str">
        <x:v>Mobile</x:v>
      </x:c>
      <x:c r="C142" t="str">
        <x:v>Female</x:v>
      </x:c>
      <x:c r="D142" t="n">
        <x:v>40</x:v>
      </x:c>
      <x:c r="E142" t="str">
        <x:v>View account information</x:v>
      </x:c>
      <x:c r="F142" t="str">
        <x:v>Pass</x:v>
      </x:c>
      <x:c r="G142" t="n">
        <x:v>0</x:v>
      </x:c>
      <x:c r="H142" s="16" t="str">
        <x:v>Participant accidentally clicked logout button.</x:v>
      </x:c>
    </x:row>
    <x:row r="143">
      <x:c r="A143" t="n">
        <x:v>15</x:v>
      </x:c>
      <x:c r="B143" t="str">
        <x:v>Computer</x:v>
      </x:c>
      <x:c r="C143" t="str">
        <x:v>Male</x:v>
      </x:c>
      <x:c r="D143" t="n">
        <x:v>55</x:v>
      </x:c>
      <x:c r="E143" t="str">
        <x:v>View offered subjects</x:v>
      </x:c>
      <x:c r="F143" t="str">
        <x:v>Fail</x:v>
      </x:c>
      <x:c r="G143" t="n">
        <x:v>1</x:v>
      </x:c>
      <x:c r="H143" s="16" t="str">
        <x:v>User hesitated while locating navigation tabs.</x:v>
      </x:c>
    </x:row>
    <x:row r="144">
      <x:c r="A144" t="n">
        <x:v>15</x:v>
      </x:c>
      <x:c r="B144" t="str">
        <x:v>Computer</x:v>
      </x:c>
      <x:c r="C144" t="str">
        <x:v>Male</x:v>
      </x:c>
      <x:c r="D144" t="n">
        <x:v>55</x:v>
      </x:c>
      <x:c r="E144" t="str">
        <x:v>Navigate to Home page</x:v>
      </x:c>
      <x:c r="F144" t="str">
        <x:v>Pass</x:v>
      </x:c>
      <x:c r="G144" t="n">
        <x:v>0</x:v>
      </x:c>
      <x:c r="H144" s="16" t="str">
        <x:v>Small text caused readability issues.</x:v>
      </x:c>
    </x:row>
    <x:row r="145">
      <x:c r="A145" t="n">
        <x:v>15</x:v>
      </x:c>
      <x:c r="B145" t="str">
        <x:v>Computer</x:v>
      </x:c>
      <x:c r="C145" t="str">
        <x:v>Male</x:v>
      </x:c>
      <x:c r="D145" t="n">
        <x:v>55</x:v>
      </x:c>
      <x:c r="E145" t="str">
        <x:v>Login using credentials</x:v>
      </x:c>
      <x:c r="F145" t="str">
        <x:v>Pass</x:v>
      </x:c>
      <x:c r="G145" t="n">
        <x:v>1</x:v>
      </x:c>
      <x:c r="H145" s="16" t="str">
        <x:v>User hesitated while locating navigation tabs.</x:v>
      </x:c>
    </x:row>
    <x:row r="146">
      <x:c r="A146" t="n">
        <x:v>15</x:v>
      </x:c>
      <x:c r="B146" t="str">
        <x:v>Computer</x:v>
      </x:c>
      <x:c r="C146" t="str">
        <x:v>Male</x:v>
      </x:c>
      <x:c r="D146" t="n">
        <x:v>55</x:v>
      </x:c>
      <x:c r="E146" t="str">
        <x:v>Attempt logout</x:v>
      </x:c>
      <x:c r="F146" t="str">
        <x:v>Assist</x:v>
      </x:c>
      <x:c r="G146" t="n">
        <x:v>3</x:v>
      </x:c>
      <x:c r="H146" s="16" t="str">
        <x:v>User hesitated while locating navigation tabs.</x:v>
      </x:c>
    </x:row>
    <x:row r="147">
      <x:c r="A147" t="n">
        <x:v>15</x:v>
      </x:c>
      <x:c r="B147" t="str">
        <x:v>Computer</x:v>
      </x:c>
      <x:c r="C147" t="str">
        <x:v>Male</x:v>
      </x:c>
      <x:c r="D147" t="n">
        <x:v>55</x:v>
      </x:c>
      <x:c r="E147" t="str">
        <x:v>Return to login page</x:v>
      </x:c>
      <x:c r="F147" t="str">
        <x:v>Fail</x:v>
      </x:c>
      <x:c r="G147" t="n">
        <x:v>1</x:v>
      </x:c>
      <x:c r="H147" s="16" t="str">
        <x:v>Task completed smoothly after brief exploration.</x:v>
      </x:c>
    </x:row>
    <x:row r="148">
      <x:c r="A148" t="n">
        <x:v>15</x:v>
      </x:c>
      <x:c r="B148" t="str">
        <x:v>Computer</x:v>
      </x:c>
      <x:c r="C148" t="str">
        <x:v>Male</x:v>
      </x:c>
      <x:c r="D148" t="n">
        <x:v>55</x:v>
      </x:c>
      <x:c r="E148" t="str">
        <x:v>Login again</x:v>
      </x:c>
      <x:c r="F148" t="str">
        <x:v>Pass</x:v>
      </x:c>
      <x:c r="G148" t="n">
        <x:v>1</x:v>
      </x:c>
      <x:c r="H148" s="16" t="str">
        <x:v>User relied on trial and error to proceed.</x:v>
      </x:c>
    </x:row>
    <x:row r="149">
      <x:c r="A149" t="n">
        <x:v>15</x:v>
      </x:c>
      <x:c r="B149" t="str">
        <x:v>Computer</x:v>
      </x:c>
      <x:c r="C149" t="str">
        <x:v>Male</x:v>
      </x:c>
      <x:c r="D149" t="n">
        <x:v>55</x:v>
      </x:c>
      <x:c r="E149" t="str">
        <x:v>Open My Account</x:v>
      </x:c>
      <x:c r="F149" t="str">
        <x:v>Fail</x:v>
      </x:c>
      <x:c r="G149" t="n">
        <x:v>2</x:v>
      </x:c>
      <x:c r="H149" s="16" t="str">
        <x:v>User relied on trial and error to proceed.</x:v>
      </x:c>
    </x:row>
    <x:row r="150">
      <x:c r="A150" t="n">
        <x:v>15</x:v>
      </x:c>
      <x:c r="B150" t="str">
        <x:v>Computer</x:v>
      </x:c>
      <x:c r="C150" t="str">
        <x:v>Male</x:v>
      </x:c>
      <x:c r="D150" t="n">
        <x:v>55</x:v>
      </x:c>
      <x:c r="E150" t="str">
        <x:v>Find Offered Subjects</x:v>
      </x:c>
      <x:c r="F150" t="str">
        <x:v>Assist</x:v>
      </x:c>
      <x:c r="G150" t="n">
        <x:v>1</x:v>
      </x:c>
      <x:c r="H150" s="16" t="str">
        <x:v>Small text caused readability issues.</x:v>
      </x:c>
    </x:row>
    <x:row r="151">
      <x:c r="A151" t="n">
        <x:v>15</x:v>
      </x:c>
      <x:c r="B151" t="str">
        <x:v>Computer</x:v>
      </x:c>
      <x:c r="C151" t="str">
        <x:v>Male</x:v>
      </x:c>
      <x:c r="D151" t="n">
        <x:v>55</x:v>
      </x:c>
      <x:c r="E151" t="str">
        <x:v>Navigate Clearance</x:v>
      </x:c>
      <x:c r="F151" t="str">
        <x:v>Pass</x:v>
      </x:c>
      <x:c r="G151" t="n">
        <x:v>0</x:v>
      </x:c>
      <x:c r="H151" s="16" t="str">
        <x:v>Task completed smoothly after brief exploration.</x:v>
      </x:c>
    </x:row>
    <x:row r="152">
      <x:c r="A152" t="n">
        <x:v>15</x:v>
      </x:c>
      <x:c r="B152" t="str">
        <x:v>Computer</x:v>
      </x:c>
      <x:c r="C152" t="str">
        <x:v>Male</x:v>
      </x:c>
      <x:c r="D152" t="n">
        <x:v>55</x:v>
      </x:c>
      <x:c r="E152" t="str">
        <x:v>View account information</x:v>
      </x:c>
      <x:c r="F152" t="str">
        <x:v>Pass</x:v>
      </x:c>
      <x:c r="G152" t="n">
        <x:v>1</x:v>
      </x:c>
      <x:c r="H152" s="16" t="str">
        <x:v>User hesitated while locating navigation tabs.</x:v>
      </x:c>
    </x:row>
    <x:row r="153">
      <x:c r="A153" t="n">
        <x:v>16</x:v>
      </x:c>
      <x:c r="B153" t="str">
        <x:v>Mobile</x:v>
      </x:c>
      <x:c r="C153" t="str">
        <x:v>Female</x:v>
      </x:c>
      <x:c r="D153" t="n">
        <x:v>47.5</x:v>
      </x:c>
      <x:c r="E153" t="str">
        <x:v>View offered subjects</x:v>
      </x:c>
      <x:c r="F153" t="str">
        <x:v>Fail</x:v>
      </x:c>
      <x:c r="G153" t="n">
        <x:v>2</x:v>
      </x:c>
      <x:c r="H153" s="16" t="str">
        <x:v>User hesitated while locating navigation tabs.</x:v>
      </x:c>
    </x:row>
    <x:row r="154">
      <x:c r="A154" t="n">
        <x:v>16</x:v>
      </x:c>
      <x:c r="B154" t="str">
        <x:v>Mobile</x:v>
      </x:c>
      <x:c r="C154" t="str">
        <x:v>Female</x:v>
      </x:c>
      <x:c r="D154" t="n">
        <x:v>47.5</x:v>
      </x:c>
      <x:c r="E154" t="str">
        <x:v>Navigate to Home page</x:v>
      </x:c>
      <x:c r="F154" t="str">
        <x:v>Pass</x:v>
      </x:c>
      <x:c r="G154" t="n">
        <x:v>2</x:v>
      </x:c>
      <x:c r="H154" s="16" t="str">
        <x:v>Navigation felt confusing at first.</x:v>
      </x:c>
    </x:row>
    <x:row r="155">
      <x:c r="A155" t="n">
        <x:v>16</x:v>
      </x:c>
      <x:c r="B155" t="str">
        <x:v>Mobile</x:v>
      </x:c>
      <x:c r="C155" t="str">
        <x:v>Female</x:v>
      </x:c>
      <x:c r="D155" t="n">
        <x:v>47.5</x:v>
      </x:c>
      <x:c r="E155" t="str">
        <x:v>Login using credentials</x:v>
      </x:c>
      <x:c r="F155" t="str">
        <x:v>Assist</x:v>
      </x:c>
      <x:c r="G155" t="n">
        <x:v>3</x:v>
      </x:c>
      <x:c r="H155" s="16" t="str">
        <x:v>Task completed smoothly after brief exploration.</x:v>
      </x:c>
    </x:row>
    <x:row r="156">
      <x:c r="A156" t="n">
        <x:v>16</x:v>
      </x:c>
      <x:c r="B156" t="str">
        <x:v>Mobile</x:v>
      </x:c>
      <x:c r="C156" t="str">
        <x:v>Female</x:v>
      </x:c>
      <x:c r="D156" t="n">
        <x:v>47.5</x:v>
      </x:c>
      <x:c r="E156" t="str">
        <x:v>Attempt logout</x:v>
      </x:c>
      <x:c r="F156" t="str">
        <x:v>Pass</x:v>
      </x:c>
      <x:c r="G156" t="n">
        <x:v>3</x:v>
      </x:c>
      <x:c r="H156" s="16" t="str">
        <x:v>User hesitated while locating navigation tabs.</x:v>
      </x:c>
    </x:row>
    <x:row r="157">
      <x:c r="A157" t="n">
        <x:v>16</x:v>
      </x:c>
      <x:c r="B157" t="str">
        <x:v>Mobile</x:v>
      </x:c>
      <x:c r="C157" t="str">
        <x:v>Female</x:v>
      </x:c>
      <x:c r="D157" t="n">
        <x:v>47.5</x:v>
      </x:c>
      <x:c r="E157" t="str">
        <x:v>Return to login page</x:v>
      </x:c>
      <x:c r="F157" t="str">
        <x:v>Pass</x:v>
      </x:c>
      <x:c r="G157" t="n">
        <x:v>3</x:v>
      </x:c>
      <x:c r="H157" s="16" t="str">
        <x:v>Navigation felt confusing at first.</x:v>
      </x:c>
    </x:row>
    <x:row r="158">
      <x:c r="A158" t="n">
        <x:v>16</x:v>
      </x:c>
      <x:c r="B158" t="str">
        <x:v>Mobile</x:v>
      </x:c>
      <x:c r="C158" t="str">
        <x:v>Female</x:v>
      </x:c>
      <x:c r="D158" t="n">
        <x:v>47.5</x:v>
      </x:c>
      <x:c r="E158" t="str">
        <x:v>Login again</x:v>
      </x:c>
      <x:c r="F158" t="str">
        <x:v>Fail</x:v>
      </x:c>
      <x:c r="G158" t="n">
        <x:v>2</x:v>
      </x:c>
      <x:c r="H158" s="16" t="str">
        <x:v>Small text caused readability issues.</x:v>
      </x:c>
    </x:row>
    <x:row r="159">
      <x:c r="A159" t="n">
        <x:v>16</x:v>
      </x:c>
      <x:c r="B159" t="str">
        <x:v>Mobile</x:v>
      </x:c>
      <x:c r="C159" t="str">
        <x:v>Female</x:v>
      </x:c>
      <x:c r="D159" t="n">
        <x:v>47.5</x:v>
      </x:c>
      <x:c r="E159" t="str">
        <x:v>Open My Account</x:v>
      </x:c>
      <x:c r="F159" t="str">
        <x:v>Assist</x:v>
      </x:c>
      <x:c r="G159" t="n">
        <x:v>3</x:v>
      </x:c>
      <x:c r="H159" s="16" t="str">
        <x:v>User hesitated while locating navigation tabs.</x:v>
      </x:c>
    </x:row>
    <x:row r="160">
      <x:c r="A160" t="n">
        <x:v>16</x:v>
      </x:c>
      <x:c r="B160" t="str">
        <x:v>Mobile</x:v>
      </x:c>
      <x:c r="C160" t="str">
        <x:v>Female</x:v>
      </x:c>
      <x:c r="D160" t="n">
        <x:v>47.5</x:v>
      </x:c>
      <x:c r="E160" t="str">
        <x:v>Find Offered Subjects</x:v>
      </x:c>
      <x:c r="F160" t="str">
        <x:v>Assist</x:v>
      </x:c>
      <x:c r="G160" t="n">
        <x:v>1</x:v>
      </x:c>
      <x:c r="H160" s="16" t="str">
        <x:v>Small text caused readability issues.</x:v>
      </x:c>
    </x:row>
    <x:row r="161">
      <x:c r="A161" t="n">
        <x:v>16</x:v>
      </x:c>
      <x:c r="B161" t="str">
        <x:v>Mobile</x:v>
      </x:c>
      <x:c r="C161" t="str">
        <x:v>Female</x:v>
      </x:c>
      <x:c r="D161" t="n">
        <x:v>47.5</x:v>
      </x:c>
      <x:c r="E161" t="str">
        <x:v>Navigate Clearance</x:v>
      </x:c>
      <x:c r="F161" t="str">
        <x:v>Pass</x:v>
      </x:c>
      <x:c r="G161" t="n">
        <x:v>1</x:v>
      </x:c>
      <x:c r="H161" s="16" t="str">
        <x:v>User relied on trial and error to proceed.</x:v>
      </x:c>
    </x:row>
    <x:row r="162">
      <x:c r="A162" t="n">
        <x:v>16</x:v>
      </x:c>
      <x:c r="B162" t="str">
        <x:v>Mobile</x:v>
      </x:c>
      <x:c r="C162" t="str">
        <x:v>Female</x:v>
      </x:c>
      <x:c r="D162" t="n">
        <x:v>47.5</x:v>
      </x:c>
      <x:c r="E162" t="str">
        <x:v>View account information</x:v>
      </x:c>
      <x:c r="F162" t="str">
        <x:v>Assist</x:v>
      </x:c>
      <x:c r="G162" t="n">
        <x:v>1</x:v>
      </x:c>
      <x:c r="H162" s="16" t="str">
        <x:v>Navigation felt confusing at first.</x:v>
      </x:c>
    </x:row>
    <x:row r="163">
      <x:c r="A163" t="n">
        <x:v>17</x:v>
      </x:c>
      <x:c r="B163" t="str">
        <x:v>Computer</x:v>
      </x:c>
      <x:c r="C163" t="str">
        <x:v>Female</x:v>
      </x:c>
      <x:c r="D163" t="n">
        <x:v>55</x:v>
      </x:c>
      <x:c r="E163" t="str">
        <x:v>View offered subjects</x:v>
      </x:c>
      <x:c r="F163" t="str">
        <x:v>Pass</x:v>
      </x:c>
      <x:c r="G163" t="n">
        <x:v>3</x:v>
      </x:c>
      <x:c r="H163" s="16" t="str">
        <x:v>User relied on trial and error to proceed.</x:v>
      </x:c>
    </x:row>
    <x:row r="164">
      <x:c r="A164" t="n">
        <x:v>17</x:v>
      </x:c>
      <x:c r="B164" t="str">
        <x:v>Computer</x:v>
      </x:c>
      <x:c r="C164" t="str">
        <x:v>Female</x:v>
      </x:c>
      <x:c r="D164" t="n">
        <x:v>55</x:v>
      </x:c>
      <x:c r="E164" t="str">
        <x:v>Navigate to Home page</x:v>
      </x:c>
      <x:c r="F164" t="str">
        <x:v>Assist</x:v>
      </x:c>
      <x:c r="G164" t="n">
        <x:v>2</x:v>
      </x:c>
      <x:c r="H164" s="16" t="str">
        <x:v>Participant accidentally clicked logout button.</x:v>
      </x:c>
    </x:row>
    <x:row r="165">
      <x:c r="A165" t="n">
        <x:v>17</x:v>
      </x:c>
      <x:c r="B165" t="str">
        <x:v>Computer</x:v>
      </x:c>
      <x:c r="C165" t="str">
        <x:v>Female</x:v>
      </x:c>
      <x:c r="D165" t="n">
        <x:v>55</x:v>
      </x:c>
      <x:c r="E165" t="str">
        <x:v>Login using credentials</x:v>
      </x:c>
      <x:c r="F165" t="str">
        <x:v>Assist</x:v>
      </x:c>
      <x:c r="G165" t="n">
        <x:v>1</x:v>
      </x:c>
      <x:c r="H165" s="16" t="str">
        <x:v>Task completed smoothly after brief exploration.</x:v>
      </x:c>
    </x:row>
    <x:row r="166">
      <x:c r="A166" t="n">
        <x:v>17</x:v>
      </x:c>
      <x:c r="B166" t="str">
        <x:v>Computer</x:v>
      </x:c>
      <x:c r="C166" t="str">
        <x:v>Female</x:v>
      </x:c>
      <x:c r="D166" t="n">
        <x:v>55</x:v>
      </x:c>
      <x:c r="E166" t="str">
        <x:v>Attempt logout</x:v>
      </x:c>
      <x:c r="F166" t="str">
        <x:v>Pass</x:v>
      </x:c>
      <x:c r="G166" t="n">
        <x:v>3</x:v>
      </x:c>
      <x:c r="H166" s="16" t="str">
        <x:v>User hesitated while locating navigation tabs.</x:v>
      </x:c>
    </x:row>
    <x:row r="167">
      <x:c r="A167" t="n">
        <x:v>17</x:v>
      </x:c>
      <x:c r="B167" t="str">
        <x:v>Computer</x:v>
      </x:c>
      <x:c r="C167" t="str">
        <x:v>Female</x:v>
      </x:c>
      <x:c r="D167" t="n">
        <x:v>55</x:v>
      </x:c>
      <x:c r="E167" t="str">
        <x:v>Return to login page</x:v>
      </x:c>
      <x:c r="F167" t="str">
        <x:v>Pass</x:v>
      </x:c>
      <x:c r="G167" t="n">
        <x:v>0</x:v>
      </x:c>
      <x:c r="H167" s="16" t="str">
        <x:v>User hesitated while locating navigation tabs.</x:v>
      </x:c>
    </x:row>
    <x:row r="168">
      <x:c r="A168" t="n">
        <x:v>17</x:v>
      </x:c>
      <x:c r="B168" t="str">
        <x:v>Computer</x:v>
      </x:c>
      <x:c r="C168" t="str">
        <x:v>Female</x:v>
      </x:c>
      <x:c r="D168" t="n">
        <x:v>55</x:v>
      </x:c>
      <x:c r="E168" t="str">
        <x:v>Login again</x:v>
      </x:c>
      <x:c r="F168" t="str">
        <x:v>Pass</x:v>
      </x:c>
      <x:c r="G168" t="n">
        <x:v>3</x:v>
      </x:c>
      <x:c r="H168" s="16" t="str">
        <x:v>User hesitated while locating navigation tabs.</x:v>
      </x:c>
    </x:row>
    <x:row r="169">
      <x:c r="A169" t="n">
        <x:v>17</x:v>
      </x:c>
      <x:c r="B169" t="str">
        <x:v>Computer</x:v>
      </x:c>
      <x:c r="C169" t="str">
        <x:v>Female</x:v>
      </x:c>
      <x:c r="D169" t="n">
        <x:v>55</x:v>
      </x:c>
      <x:c r="E169" t="str">
        <x:v>Open My Account</x:v>
      </x:c>
      <x:c r="F169" t="str">
        <x:v>Fail</x:v>
      </x:c>
      <x:c r="G169" t="n">
        <x:v>3</x:v>
      </x:c>
      <x:c r="H169" s="16" t="str">
        <x:v>Small text caused readability issues.</x:v>
      </x:c>
    </x:row>
    <x:row r="170">
      <x:c r="A170" t="n">
        <x:v>17</x:v>
      </x:c>
      <x:c r="B170" t="str">
        <x:v>Computer</x:v>
      </x:c>
      <x:c r="C170" t="str">
        <x:v>Female</x:v>
      </x:c>
      <x:c r="D170" t="n">
        <x:v>55</x:v>
      </x:c>
      <x:c r="E170" t="str">
        <x:v>Find Offered Subjects</x:v>
      </x:c>
      <x:c r="F170" t="str">
        <x:v>Fail</x:v>
      </x:c>
      <x:c r="G170" t="n">
        <x:v>2</x:v>
      </x:c>
      <x:c r="H170" s="16" t="str">
        <x:v>Task completed smoothly after brief exploration.</x:v>
      </x:c>
    </x:row>
    <x:row r="171">
      <x:c r="A171" t="n">
        <x:v>17</x:v>
      </x:c>
      <x:c r="B171" t="str">
        <x:v>Computer</x:v>
      </x:c>
      <x:c r="C171" t="str">
        <x:v>Female</x:v>
      </x:c>
      <x:c r="D171" t="n">
        <x:v>55</x:v>
      </x:c>
      <x:c r="E171" t="str">
        <x:v>Navigate Clearance</x:v>
      </x:c>
      <x:c r="F171" t="str">
        <x:v>Pass</x:v>
      </x:c>
      <x:c r="G171" t="n">
        <x:v>3</x:v>
      </x:c>
      <x:c r="H171" s="16" t="str">
        <x:v>User hesitated while locating navigation tabs.</x:v>
      </x:c>
    </x:row>
    <x:row r="172">
      <x:c r="A172" t="n">
        <x:v>17</x:v>
      </x:c>
      <x:c r="B172" t="str">
        <x:v>Computer</x:v>
      </x:c>
      <x:c r="C172" t="str">
        <x:v>Female</x:v>
      </x:c>
      <x:c r="D172" t="n">
        <x:v>55</x:v>
      </x:c>
      <x:c r="E172" t="str">
        <x:v>View account information</x:v>
      </x:c>
      <x:c r="F172" t="str">
        <x:v>Pass</x:v>
      </x:c>
      <x:c r="G172" t="n">
        <x:v>0</x:v>
      </x:c>
      <x:c r="H172" s="16" t="str">
        <x:v>User relied on trial and error to proceed.</x:v>
      </x:c>
    </x:row>
    <x:row r="173">
      <x:c r="A173" t="n">
        <x:v>18</x:v>
      </x:c>
      <x:c r="B173" t="str">
        <x:v>Computer</x:v>
      </x:c>
      <x:c r="C173" t="str">
        <x:v>Female</x:v>
      </x:c>
      <x:c r="D173" t="n">
        <x:v>47.5</x:v>
      </x:c>
      <x:c r="E173" t="str">
        <x:v>View offered subjects</x:v>
      </x:c>
      <x:c r="F173" t="str">
        <x:v>Pass</x:v>
      </x:c>
      <x:c r="G173" t="n">
        <x:v>0</x:v>
      </x:c>
      <x:c r="H173" s="16" t="str">
        <x:v>User hesitated while locating navigation tabs.</x:v>
      </x:c>
    </x:row>
    <x:row r="174">
      <x:c r="A174" t="n">
        <x:v>18</x:v>
      </x:c>
      <x:c r="B174" t="str">
        <x:v>Computer</x:v>
      </x:c>
      <x:c r="C174" t="str">
        <x:v>Female</x:v>
      </x:c>
      <x:c r="D174" t="n">
        <x:v>47.5</x:v>
      </x:c>
      <x:c r="E174" t="str">
        <x:v>Navigate to Home page</x:v>
      </x:c>
      <x:c r="F174" t="str">
        <x:v>Pass</x:v>
      </x:c>
      <x:c r="G174" t="n">
        <x:v>0</x:v>
      </x:c>
      <x:c r="H174" s="16" t="str">
        <x:v>User hesitated while locating navigation tabs.</x:v>
      </x:c>
    </x:row>
    <x:row r="175">
      <x:c r="A175" t="n">
        <x:v>18</x:v>
      </x:c>
      <x:c r="B175" t="str">
        <x:v>Computer</x:v>
      </x:c>
      <x:c r="C175" t="str">
        <x:v>Female</x:v>
      </x:c>
      <x:c r="D175" t="n">
        <x:v>47.5</x:v>
      </x:c>
      <x:c r="E175" t="str">
        <x:v>Login using credentials</x:v>
      </x:c>
      <x:c r="F175" t="str">
        <x:v>Pass</x:v>
      </x:c>
      <x:c r="G175" t="n">
        <x:v>3</x:v>
      </x:c>
      <x:c r="H175" s="16" t="str">
        <x:v>User relied on trial and error to proceed.</x:v>
      </x:c>
    </x:row>
    <x:row r="176">
      <x:c r="A176" t="n">
        <x:v>18</x:v>
      </x:c>
      <x:c r="B176" t="str">
        <x:v>Computer</x:v>
      </x:c>
      <x:c r="C176" t="str">
        <x:v>Female</x:v>
      </x:c>
      <x:c r="D176" t="n">
        <x:v>47.5</x:v>
      </x:c>
      <x:c r="E176" t="str">
        <x:v>Attempt logout</x:v>
      </x:c>
      <x:c r="F176" t="str">
        <x:v>Pass</x:v>
      </x:c>
      <x:c r="G176" t="n">
        <x:v>0</x:v>
      </x:c>
      <x:c r="H176" s="16" t="str">
        <x:v>Navigation felt confusing at first.</x:v>
      </x:c>
    </x:row>
    <x:row r="177">
      <x:c r="A177" t="n">
        <x:v>18</x:v>
      </x:c>
      <x:c r="B177" t="str">
        <x:v>Computer</x:v>
      </x:c>
      <x:c r="C177" t="str">
        <x:v>Female</x:v>
      </x:c>
      <x:c r="D177" t="n">
        <x:v>47.5</x:v>
      </x:c>
      <x:c r="E177" t="str">
        <x:v>Return to login page</x:v>
      </x:c>
      <x:c r="F177" t="str">
        <x:v>Assist</x:v>
      </x:c>
      <x:c r="G177" t="n">
        <x:v>2</x:v>
      </x:c>
      <x:c r="H177" s="16" t="str">
        <x:v>User hesitated while locating navigation tabs.</x:v>
      </x:c>
    </x:row>
    <x:row r="178">
      <x:c r="A178" t="n">
        <x:v>18</x:v>
      </x:c>
      <x:c r="B178" t="str">
        <x:v>Computer</x:v>
      </x:c>
      <x:c r="C178" t="str">
        <x:v>Female</x:v>
      </x:c>
      <x:c r="D178" t="n">
        <x:v>47.5</x:v>
      </x:c>
      <x:c r="E178" t="str">
        <x:v>Login again</x:v>
      </x:c>
      <x:c r="F178" t="str">
        <x:v>Assist</x:v>
      </x:c>
      <x:c r="G178" t="n">
        <x:v>2</x:v>
      </x:c>
      <x:c r="H178" s="16" t="str">
        <x:v>User relied on trial and error to proceed.</x:v>
      </x:c>
    </x:row>
    <x:row r="179">
      <x:c r="A179" t="n">
        <x:v>18</x:v>
      </x:c>
      <x:c r="B179" t="str">
        <x:v>Computer</x:v>
      </x:c>
      <x:c r="C179" t="str">
        <x:v>Female</x:v>
      </x:c>
      <x:c r="D179" t="n">
        <x:v>47.5</x:v>
      </x:c>
      <x:c r="E179" t="str">
        <x:v>Open My Account</x:v>
      </x:c>
      <x:c r="F179" t="str">
        <x:v>Pass</x:v>
      </x:c>
      <x:c r="G179" t="n">
        <x:v>0</x:v>
      </x:c>
      <x:c r="H179" s="16" t="str">
        <x:v>Navigation felt confusing at first.</x:v>
      </x:c>
    </x:row>
    <x:row r="180">
      <x:c r="A180" t="n">
        <x:v>18</x:v>
      </x:c>
      <x:c r="B180" t="str">
        <x:v>Computer</x:v>
      </x:c>
      <x:c r="C180" t="str">
        <x:v>Female</x:v>
      </x:c>
      <x:c r="D180" t="n">
        <x:v>47.5</x:v>
      </x:c>
      <x:c r="E180" t="str">
        <x:v>Find Offered Subjects</x:v>
      </x:c>
      <x:c r="F180" t="str">
        <x:v>Fail</x:v>
      </x:c>
      <x:c r="G180" t="n">
        <x:v>2</x:v>
      </x:c>
      <x:c r="H180" s="16" t="str">
        <x:v>User hesitated while locating navigation tabs.</x:v>
      </x:c>
    </x:row>
    <x:row r="181">
      <x:c r="A181" t="n">
        <x:v>18</x:v>
      </x:c>
      <x:c r="B181" t="str">
        <x:v>Computer</x:v>
      </x:c>
      <x:c r="C181" t="str">
        <x:v>Female</x:v>
      </x:c>
      <x:c r="D181" t="n">
        <x:v>47.5</x:v>
      </x:c>
      <x:c r="E181" t="str">
        <x:v>Navigate Clearance</x:v>
      </x:c>
      <x:c r="F181" t="str">
        <x:v>Fail</x:v>
      </x:c>
      <x:c r="G181" t="n">
        <x:v>0</x:v>
      </x:c>
      <x:c r="H181" s="16" t="str">
        <x:v>User hesitated while locating navigation tabs.</x:v>
      </x:c>
    </x:row>
    <x:row r="182">
      <x:c r="A182" t="n">
        <x:v>18</x:v>
      </x:c>
      <x:c r="B182" t="str">
        <x:v>Computer</x:v>
      </x:c>
      <x:c r="C182" t="str">
        <x:v>Female</x:v>
      </x:c>
      <x:c r="D182" t="n">
        <x:v>47.5</x:v>
      </x:c>
      <x:c r="E182" t="str">
        <x:v>View account information</x:v>
      </x:c>
      <x:c r="F182" t="str">
        <x:v>Pass</x:v>
      </x:c>
      <x:c r="G182" t="n">
        <x:v>2</x:v>
      </x:c>
      <x:c r="H182" s="16" t="str">
        <x:v>Participant accidentally clicked logout button.</x:v>
      </x:c>
    </x:row>
    <x:row r="183">
      <x:c r="A183" t="n">
        <x:v>19</x:v>
      </x:c>
      <x:c r="B183" t="str">
        <x:v>Mobile</x:v>
      </x:c>
      <x:c r="C183" t="str">
        <x:v>Male</x:v>
      </x:c>
      <x:c r="D183" t="n">
        <x:v>42.5</x:v>
      </x:c>
      <x:c r="E183" t="str">
        <x:v>View offered subjects</x:v>
      </x:c>
      <x:c r="F183" t="str">
        <x:v>Pass</x:v>
      </x:c>
      <x:c r="G183" t="n">
        <x:v>2</x:v>
      </x:c>
      <x:c r="H183" s="16" t="str">
        <x:v>Navigation felt confusing at first.</x:v>
      </x:c>
    </x:row>
    <x:row r="184">
      <x:c r="A184" t="n">
        <x:v>19</x:v>
      </x:c>
      <x:c r="B184" t="str">
        <x:v>Mobile</x:v>
      </x:c>
      <x:c r="C184" t="str">
        <x:v>Male</x:v>
      </x:c>
      <x:c r="D184" t="n">
        <x:v>42.5</x:v>
      </x:c>
      <x:c r="E184" t="str">
        <x:v>Navigate to Home page</x:v>
      </x:c>
      <x:c r="F184" t="str">
        <x:v>Assist</x:v>
      </x:c>
      <x:c r="G184" t="n">
        <x:v>0</x:v>
      </x:c>
      <x:c r="H184" s="16" t="str">
        <x:v>Task completed smoothly after brief exploration.</x:v>
      </x:c>
    </x:row>
    <x:row r="185">
      <x:c r="A185" t="n">
        <x:v>19</x:v>
      </x:c>
      <x:c r="B185" t="str">
        <x:v>Mobile</x:v>
      </x:c>
      <x:c r="C185" t="str">
        <x:v>Male</x:v>
      </x:c>
      <x:c r="D185" t="n">
        <x:v>42.5</x:v>
      </x:c>
      <x:c r="E185" t="str">
        <x:v>Login using credentials</x:v>
      </x:c>
      <x:c r="F185" t="str">
        <x:v>Assist</x:v>
      </x:c>
      <x:c r="G185" t="n">
        <x:v>2</x:v>
      </x:c>
      <x:c r="H185" s="16" t="str">
        <x:v>User hesitated while locating navigation tabs.</x:v>
      </x:c>
    </x:row>
    <x:row r="186">
      <x:c r="A186" t="n">
        <x:v>19</x:v>
      </x:c>
      <x:c r="B186" t="str">
        <x:v>Mobile</x:v>
      </x:c>
      <x:c r="C186" t="str">
        <x:v>Male</x:v>
      </x:c>
      <x:c r="D186" t="n">
        <x:v>42.5</x:v>
      </x:c>
      <x:c r="E186" t="str">
        <x:v>Attempt logout</x:v>
      </x:c>
      <x:c r="F186" t="str">
        <x:v>Pass</x:v>
      </x:c>
      <x:c r="G186" t="n">
        <x:v>2</x:v>
      </x:c>
      <x:c r="H186" s="16" t="str">
        <x:v>Task completed smoothly after brief exploration.</x:v>
      </x:c>
    </x:row>
    <x:row r="187">
      <x:c r="A187" t="n">
        <x:v>19</x:v>
      </x:c>
      <x:c r="B187" t="str">
        <x:v>Mobile</x:v>
      </x:c>
      <x:c r="C187" t="str">
        <x:v>Male</x:v>
      </x:c>
      <x:c r="D187" t="n">
        <x:v>42.5</x:v>
      </x:c>
      <x:c r="E187" t="str">
        <x:v>Return to login page</x:v>
      </x:c>
      <x:c r="F187" t="str">
        <x:v>Fail</x:v>
      </x:c>
      <x:c r="G187" t="n">
        <x:v>0</x:v>
      </x:c>
      <x:c r="H187" s="16" t="str">
        <x:v>Navigation felt confusing at first.</x:v>
      </x:c>
    </x:row>
    <x:row r="188">
      <x:c r="A188" t="n">
        <x:v>19</x:v>
      </x:c>
      <x:c r="B188" t="str">
        <x:v>Mobile</x:v>
      </x:c>
      <x:c r="C188" t="str">
        <x:v>Male</x:v>
      </x:c>
      <x:c r="D188" t="n">
        <x:v>42.5</x:v>
      </x:c>
      <x:c r="E188" t="str">
        <x:v>Login again</x:v>
      </x:c>
      <x:c r="F188" t="str">
        <x:v>Pass</x:v>
      </x:c>
      <x:c r="G188" t="n">
        <x:v>3</x:v>
      </x:c>
      <x:c r="H188" s="16" t="str">
        <x:v>Navigation felt confusing at first.</x:v>
      </x:c>
    </x:row>
    <x:row r="189">
      <x:c r="A189" t="n">
        <x:v>19</x:v>
      </x:c>
      <x:c r="B189" t="str">
        <x:v>Mobile</x:v>
      </x:c>
      <x:c r="C189" t="str">
        <x:v>Male</x:v>
      </x:c>
      <x:c r="D189" t="n">
        <x:v>42.5</x:v>
      </x:c>
      <x:c r="E189" t="str">
        <x:v>Open My Account</x:v>
      </x:c>
      <x:c r="F189" t="str">
        <x:v>Pass</x:v>
      </x:c>
      <x:c r="G189" t="n">
        <x:v>0</x:v>
      </x:c>
      <x:c r="H189" s="16" t="str">
        <x:v>Task completed smoothly after brief exploration.</x:v>
      </x:c>
    </x:row>
    <x:row r="190">
      <x:c r="A190" t="n">
        <x:v>19</x:v>
      </x:c>
      <x:c r="B190" t="str">
        <x:v>Mobile</x:v>
      </x:c>
      <x:c r="C190" t="str">
        <x:v>Male</x:v>
      </x:c>
      <x:c r="D190" t="n">
        <x:v>42.5</x:v>
      </x:c>
      <x:c r="E190" t="str">
        <x:v>Find Offered Subjects</x:v>
      </x:c>
      <x:c r="F190" t="str">
        <x:v>Assist</x:v>
      </x:c>
      <x:c r="G190" t="n">
        <x:v>1</x:v>
      </x:c>
      <x:c r="H190" s="16" t="str">
        <x:v>Task completed smoothly after brief exploration.</x:v>
      </x:c>
    </x:row>
    <x:row r="191">
      <x:c r="A191" t="n">
        <x:v>19</x:v>
      </x:c>
      <x:c r="B191" t="str">
        <x:v>Mobile</x:v>
      </x:c>
      <x:c r="C191" t="str">
        <x:v>Male</x:v>
      </x:c>
      <x:c r="D191" t="n">
        <x:v>42.5</x:v>
      </x:c>
      <x:c r="E191" t="str">
        <x:v>Navigate Clearance</x:v>
      </x:c>
      <x:c r="F191" t="str">
        <x:v>Pass</x:v>
      </x:c>
      <x:c r="G191" t="n">
        <x:v>2</x:v>
      </x:c>
      <x:c r="H191" s="16" t="str">
        <x:v>User relied on trial and error to proceed.</x:v>
      </x:c>
    </x:row>
    <x:row r="192">
      <x:c r="A192" t="n">
        <x:v>19</x:v>
      </x:c>
      <x:c r="B192" t="str">
        <x:v>Mobile</x:v>
      </x:c>
      <x:c r="C192" t="str">
        <x:v>Male</x:v>
      </x:c>
      <x:c r="D192" t="n">
        <x:v>42.5</x:v>
      </x:c>
      <x:c r="E192" t="str">
        <x:v>View account information</x:v>
      </x:c>
      <x:c r="F192" t="str">
        <x:v>Pass</x:v>
      </x:c>
      <x:c r="G192" t="n">
        <x:v>0</x:v>
      </x:c>
      <x:c r="H192" s="16" t="str">
        <x:v>Navigation felt confusing at first.</x:v>
      </x:c>
    </x:row>
    <x:row r="193">
      <x:c r="A193" t="n">
        <x:v>20</x:v>
      </x:c>
      <x:c r="B193" t="str">
        <x:v>Computer</x:v>
      </x:c>
      <x:c r="C193" t="str">
        <x:v>Female</x:v>
      </x:c>
      <x:c r="D193" t="n">
        <x:v>60</x:v>
      </x:c>
      <x:c r="E193" t="str">
        <x:v>View offered subjects</x:v>
      </x:c>
      <x:c r="F193" t="str">
        <x:v>Pass</x:v>
      </x:c>
      <x:c r="G193" t="n">
        <x:v>0</x:v>
      </x:c>
      <x:c r="H193" s="16" t="str">
        <x:v>Small text caused readability issues.</x:v>
      </x:c>
    </x:row>
    <x:row r="194">
      <x:c r="A194" t="n">
        <x:v>20</x:v>
      </x:c>
      <x:c r="B194" t="str">
        <x:v>Computer</x:v>
      </x:c>
      <x:c r="C194" t="str">
        <x:v>Female</x:v>
      </x:c>
      <x:c r="D194" t="n">
        <x:v>60</x:v>
      </x:c>
      <x:c r="E194" t="str">
        <x:v>Navigate to Home page</x:v>
      </x:c>
      <x:c r="F194" t="str">
        <x:v>Pass</x:v>
      </x:c>
      <x:c r="G194" t="n">
        <x:v>3</x:v>
      </x:c>
      <x:c r="H194" s="16" t="str">
        <x:v>User hesitated while locating navigation tabs.</x:v>
      </x:c>
    </x:row>
    <x:row r="195">
      <x:c r="A195" t="n">
        <x:v>20</x:v>
      </x:c>
      <x:c r="B195" t="str">
        <x:v>Computer</x:v>
      </x:c>
      <x:c r="C195" t="str">
        <x:v>Female</x:v>
      </x:c>
      <x:c r="D195" t="n">
        <x:v>60</x:v>
      </x:c>
      <x:c r="E195" t="str">
        <x:v>Login using credentials</x:v>
      </x:c>
      <x:c r="F195" t="str">
        <x:v>Fail</x:v>
      </x:c>
      <x:c r="G195" t="n">
        <x:v>2</x:v>
      </x:c>
      <x:c r="H195" s="16" t="str">
        <x:v>Task completed smoothly after brief exploration.</x:v>
      </x:c>
    </x:row>
    <x:row r="196">
      <x:c r="A196" t="n">
        <x:v>20</x:v>
      </x:c>
      <x:c r="B196" t="str">
        <x:v>Computer</x:v>
      </x:c>
      <x:c r="C196" t="str">
        <x:v>Female</x:v>
      </x:c>
      <x:c r="D196" t="n">
        <x:v>60</x:v>
      </x:c>
      <x:c r="E196" t="str">
        <x:v>Attempt logout</x:v>
      </x:c>
      <x:c r="F196" t="str">
        <x:v>Pass</x:v>
      </x:c>
      <x:c r="G196" t="n">
        <x:v>1</x:v>
      </x:c>
      <x:c r="H196" s="16" t="str">
        <x:v>Task completed smoothly after brief exploration.</x:v>
      </x:c>
    </x:row>
    <x:row r="197">
      <x:c r="A197" t="n">
        <x:v>20</x:v>
      </x:c>
      <x:c r="B197" t="str">
        <x:v>Computer</x:v>
      </x:c>
      <x:c r="C197" t="str">
        <x:v>Female</x:v>
      </x:c>
      <x:c r="D197" t="n">
        <x:v>60</x:v>
      </x:c>
      <x:c r="E197" t="str">
        <x:v>Return to login page</x:v>
      </x:c>
      <x:c r="F197" t="str">
        <x:v>Pass</x:v>
      </x:c>
      <x:c r="G197" t="n">
        <x:v>0</x:v>
      </x:c>
      <x:c r="H197" s="16" t="str">
        <x:v>Small text caused readability issues.</x:v>
      </x:c>
    </x:row>
    <x:row r="198">
      <x:c r="A198" t="n">
        <x:v>20</x:v>
      </x:c>
      <x:c r="B198" t="str">
        <x:v>Computer</x:v>
      </x:c>
      <x:c r="C198" t="str">
        <x:v>Female</x:v>
      </x:c>
      <x:c r="D198" t="n">
        <x:v>60</x:v>
      </x:c>
      <x:c r="E198" t="str">
        <x:v>Login again</x:v>
      </x:c>
      <x:c r="F198" t="str">
        <x:v>Pass</x:v>
      </x:c>
      <x:c r="G198" t="n">
        <x:v>1</x:v>
      </x:c>
      <x:c r="H198" s="16" t="str">
        <x:v>User hesitated while locating navigation tabs.</x:v>
      </x:c>
    </x:row>
    <x:row r="199">
      <x:c r="A199" t="n">
        <x:v>20</x:v>
      </x:c>
      <x:c r="B199" t="str">
        <x:v>Computer</x:v>
      </x:c>
      <x:c r="C199" t="str">
        <x:v>Female</x:v>
      </x:c>
      <x:c r="D199" t="n">
        <x:v>60</x:v>
      </x:c>
      <x:c r="E199" t="str">
        <x:v>Open My Account</x:v>
      </x:c>
      <x:c r="F199" t="str">
        <x:v>Fail</x:v>
      </x:c>
      <x:c r="G199" t="n">
        <x:v>2</x:v>
      </x:c>
      <x:c r="H199" s="16" t="str">
        <x:v>Small text caused readability issues.</x:v>
      </x:c>
    </x:row>
    <x:row r="200">
      <x:c r="A200" t="n">
        <x:v>20</x:v>
      </x:c>
      <x:c r="B200" t="str">
        <x:v>Computer</x:v>
      </x:c>
      <x:c r="C200" t="str">
        <x:v>Female</x:v>
      </x:c>
      <x:c r="D200" t="n">
        <x:v>60</x:v>
      </x:c>
      <x:c r="E200" t="str">
        <x:v>Find Offered Subjects</x:v>
      </x:c>
      <x:c r="F200" t="str">
        <x:v>Assist</x:v>
      </x:c>
      <x:c r="G200" t="n">
        <x:v>2</x:v>
      </x:c>
      <x:c r="H200" s="16" t="str">
        <x:v>User relied on trial and error to proceed.</x:v>
      </x:c>
    </x:row>
    <x:row r="201">
      <x:c r="A201" t="n">
        <x:v>20</x:v>
      </x:c>
      <x:c r="B201" t="str">
        <x:v>Computer</x:v>
      </x:c>
      <x:c r="C201" t="str">
        <x:v>Female</x:v>
      </x:c>
      <x:c r="D201" t="n">
        <x:v>60</x:v>
      </x:c>
      <x:c r="E201" t="str">
        <x:v>Navigate Clearance</x:v>
      </x:c>
      <x:c r="F201" t="str">
        <x:v>Pass</x:v>
      </x:c>
      <x:c r="G201" t="n">
        <x:v>3</x:v>
      </x:c>
      <x:c r="H201" s="16" t="str">
        <x:v>Navigation felt confusing at first.</x:v>
      </x:c>
    </x:row>
    <x:row r="202">
      <x:c r="A202" t="n">
        <x:v>20</x:v>
      </x:c>
      <x:c r="B202" t="str">
        <x:v>Computer</x:v>
      </x:c>
      <x:c r="C202" t="str">
        <x:v>Female</x:v>
      </x:c>
      <x:c r="D202" t="n">
        <x:v>60</x:v>
      </x:c>
      <x:c r="E202" t="str">
        <x:v>View account information</x:v>
      </x:c>
      <x:c r="F202" t="str">
        <x:v>Fail</x:v>
      </x:c>
      <x:c r="G202" t="n">
        <x:v>2</x:v>
      </x:c>
      <x:c r="H202" s="16" t="str">
        <x:v>Task completed smoothly after brief exploration.</x:v>
      </x:c>
    </x:row>
    <x:row r="203">
      <x:c r="A203" t="n">
        <x:v>21</x:v>
      </x:c>
      <x:c r="B203" t="str">
        <x:v>Computer</x:v>
      </x:c>
      <x:c r="C203" t="str">
        <x:v>Male</x:v>
      </x:c>
      <x:c r="D203" t="n">
        <x:v>50</x:v>
      </x:c>
      <x:c r="E203" t="str">
        <x:v>View offered subjects</x:v>
      </x:c>
      <x:c r="F203" t="str">
        <x:v>Fail</x:v>
      </x:c>
      <x:c r="G203" t="n">
        <x:v>0</x:v>
      </x:c>
      <x:c r="H203" s="16" t="str">
        <x:v>Participant accidentally clicked logout button.</x:v>
      </x:c>
    </x:row>
    <x:row r="204">
      <x:c r="A204" t="n">
        <x:v>21</x:v>
      </x:c>
      <x:c r="B204" t="str">
        <x:v>Computer</x:v>
      </x:c>
      <x:c r="C204" t="str">
        <x:v>Male</x:v>
      </x:c>
      <x:c r="D204" t="n">
        <x:v>50</x:v>
      </x:c>
      <x:c r="E204" t="str">
        <x:v>Navigate to Home page</x:v>
      </x:c>
      <x:c r="F204" t="str">
        <x:v>Pass</x:v>
      </x:c>
      <x:c r="G204" t="n">
        <x:v>3</x:v>
      </x:c>
      <x:c r="H204" s="16" t="str">
        <x:v>User relied on trial and error to proceed.</x:v>
      </x:c>
    </x:row>
    <x:row r="205">
      <x:c r="A205" t="n">
        <x:v>21</x:v>
      </x:c>
      <x:c r="B205" t="str">
        <x:v>Computer</x:v>
      </x:c>
      <x:c r="C205" t="str">
        <x:v>Male</x:v>
      </x:c>
      <x:c r="D205" t="n">
        <x:v>50</x:v>
      </x:c>
      <x:c r="E205" t="str">
        <x:v>Login using credentials</x:v>
      </x:c>
      <x:c r="F205" t="str">
        <x:v>Fail</x:v>
      </x:c>
      <x:c r="G205" t="n">
        <x:v>3</x:v>
      </x:c>
      <x:c r="H205" s="16" t="str">
        <x:v>Task completed smoothly after brief exploration.</x:v>
      </x:c>
    </x:row>
    <x:row r="206">
      <x:c r="A206" t="n">
        <x:v>21</x:v>
      </x:c>
      <x:c r="B206" t="str">
        <x:v>Computer</x:v>
      </x:c>
      <x:c r="C206" t="str">
        <x:v>Male</x:v>
      </x:c>
      <x:c r="D206" t="n">
        <x:v>50</x:v>
      </x:c>
      <x:c r="E206" t="str">
        <x:v>Attempt logout</x:v>
      </x:c>
      <x:c r="F206" t="str">
        <x:v>Pass</x:v>
      </x:c>
      <x:c r="G206" t="n">
        <x:v>2</x:v>
      </x:c>
      <x:c r="H206" s="16" t="str">
        <x:v>Participant accidentally clicked logout button.</x:v>
      </x:c>
    </x:row>
    <x:row r="207">
      <x:c r="A207" t="n">
        <x:v>21</x:v>
      </x:c>
      <x:c r="B207" t="str">
        <x:v>Computer</x:v>
      </x:c>
      <x:c r="C207" t="str">
        <x:v>Male</x:v>
      </x:c>
      <x:c r="D207" t="n">
        <x:v>50</x:v>
      </x:c>
      <x:c r="E207" t="str">
        <x:v>Return to login page</x:v>
      </x:c>
      <x:c r="F207" t="str">
        <x:v>Assist</x:v>
      </x:c>
      <x:c r="G207" t="n">
        <x:v>2</x:v>
      </x:c>
      <x:c r="H207" s="16" t="str">
        <x:v>Small text caused readability issues.</x:v>
      </x:c>
    </x:row>
    <x:row r="208">
      <x:c r="A208" t="n">
        <x:v>21</x:v>
      </x:c>
      <x:c r="B208" t="str">
        <x:v>Computer</x:v>
      </x:c>
      <x:c r="C208" t="str">
        <x:v>Male</x:v>
      </x:c>
      <x:c r="D208" t="n">
        <x:v>50</x:v>
      </x:c>
      <x:c r="E208" t="str">
        <x:v>Login again</x:v>
      </x:c>
      <x:c r="F208" t="str">
        <x:v>Fail</x:v>
      </x:c>
      <x:c r="G208" t="n">
        <x:v>2</x:v>
      </x:c>
      <x:c r="H208" s="16" t="str">
        <x:v>Task completed smoothly after brief exploration.</x:v>
      </x:c>
    </x:row>
    <x:row r="209">
      <x:c r="A209" t="n">
        <x:v>21</x:v>
      </x:c>
      <x:c r="B209" t="str">
        <x:v>Computer</x:v>
      </x:c>
      <x:c r="C209" t="str">
        <x:v>Male</x:v>
      </x:c>
      <x:c r="D209" t="n">
        <x:v>50</x:v>
      </x:c>
      <x:c r="E209" t="str">
        <x:v>Open My Account</x:v>
      </x:c>
      <x:c r="F209" t="str">
        <x:v>Assist</x:v>
      </x:c>
      <x:c r="G209" t="n">
        <x:v>1</x:v>
      </x:c>
      <x:c r="H209" s="16" t="str">
        <x:v>Participant accidentally clicked logout button.</x:v>
      </x:c>
    </x:row>
    <x:row r="210">
      <x:c r="A210" t="n">
        <x:v>21</x:v>
      </x:c>
      <x:c r="B210" t="str">
        <x:v>Computer</x:v>
      </x:c>
      <x:c r="C210" t="str">
        <x:v>Male</x:v>
      </x:c>
      <x:c r="D210" t="n">
        <x:v>50</x:v>
      </x:c>
      <x:c r="E210" t="str">
        <x:v>Find Offered Subjects</x:v>
      </x:c>
      <x:c r="F210" t="str">
        <x:v>Pass</x:v>
      </x:c>
      <x:c r="G210" t="n">
        <x:v>2</x:v>
      </x:c>
      <x:c r="H210" s="16" t="str">
        <x:v>Small text caused readability issues.</x:v>
      </x:c>
    </x:row>
    <x:row r="211">
      <x:c r="A211" t="n">
        <x:v>21</x:v>
      </x:c>
      <x:c r="B211" t="str">
        <x:v>Computer</x:v>
      </x:c>
      <x:c r="C211" t="str">
        <x:v>Male</x:v>
      </x:c>
      <x:c r="D211" t="n">
        <x:v>50</x:v>
      </x:c>
      <x:c r="E211" t="str">
        <x:v>Navigate Clearance</x:v>
      </x:c>
      <x:c r="F211" t="str">
        <x:v>Pass</x:v>
      </x:c>
      <x:c r="G211" t="n">
        <x:v>0</x:v>
      </x:c>
      <x:c r="H211" s="16" t="str">
        <x:v>Task completed smoothly after brief exploration.</x:v>
      </x:c>
    </x:row>
    <x:row r="212">
      <x:c r="A212" t="n">
        <x:v>21</x:v>
      </x:c>
      <x:c r="B212" t="str">
        <x:v>Computer</x:v>
      </x:c>
      <x:c r="C212" t="str">
        <x:v>Male</x:v>
      </x:c>
      <x:c r="D212" t="n">
        <x:v>50</x:v>
      </x:c>
      <x:c r="E212" t="str">
        <x:v>View account information</x:v>
      </x:c>
      <x:c r="F212" t="str">
        <x:v>Pass</x:v>
      </x:c>
      <x:c r="G212" t="n">
        <x:v>2</x:v>
      </x:c>
      <x:c r="H212" s="16" t="str">
        <x:v>User hesitated while locating navigation tabs.</x:v>
      </x:c>
    </x:row>
    <x:row r="213">
      <x:c r="A213" t="n">
        <x:v>22</x:v>
      </x:c>
      <x:c r="B213" t="str">
        <x:v>Computer</x:v>
      </x:c>
      <x:c r="C213" t="str">
        <x:v>Female</x:v>
      </x:c>
      <x:c r="D213" t="n">
        <x:v>42.5</x:v>
      </x:c>
      <x:c r="E213" t="str">
        <x:v>View offered subjects</x:v>
      </x:c>
      <x:c r="F213" t="str">
        <x:v>Fail</x:v>
      </x:c>
      <x:c r="G213" t="n">
        <x:v>0</x:v>
      </x:c>
      <x:c r="H213" s="16" t="str">
        <x:v>Task completed smoothly after brief exploration.</x:v>
      </x:c>
    </x:row>
    <x:row r="214">
      <x:c r="A214" t="n">
        <x:v>22</x:v>
      </x:c>
      <x:c r="B214" t="str">
        <x:v>Computer</x:v>
      </x:c>
      <x:c r="C214" t="str">
        <x:v>Female</x:v>
      </x:c>
      <x:c r="D214" t="n">
        <x:v>42.5</x:v>
      </x:c>
      <x:c r="E214" t="str">
        <x:v>Navigate to Home page</x:v>
      </x:c>
      <x:c r="F214" t="str">
        <x:v>Pass</x:v>
      </x:c>
      <x:c r="G214" t="n">
        <x:v>2</x:v>
      </x:c>
      <x:c r="H214" s="16" t="str">
        <x:v>User relied on trial and error to proceed.</x:v>
      </x:c>
    </x:row>
    <x:row r="215">
      <x:c r="A215" t="n">
        <x:v>22</x:v>
      </x:c>
      <x:c r="B215" t="str">
        <x:v>Computer</x:v>
      </x:c>
      <x:c r="C215" t="str">
        <x:v>Female</x:v>
      </x:c>
      <x:c r="D215" t="n">
        <x:v>42.5</x:v>
      </x:c>
      <x:c r="E215" t="str">
        <x:v>Login using credentials</x:v>
      </x:c>
      <x:c r="F215" t="str">
        <x:v>Pass</x:v>
      </x:c>
      <x:c r="G215" t="n">
        <x:v>2</x:v>
      </x:c>
      <x:c r="H215" s="16" t="str">
        <x:v>User relied on trial and error to proceed.</x:v>
      </x:c>
    </x:row>
    <x:row r="216">
      <x:c r="A216" t="n">
        <x:v>22</x:v>
      </x:c>
      <x:c r="B216" t="str">
        <x:v>Computer</x:v>
      </x:c>
      <x:c r="C216" t="str">
        <x:v>Female</x:v>
      </x:c>
      <x:c r="D216" t="n">
        <x:v>42.5</x:v>
      </x:c>
      <x:c r="E216" t="str">
        <x:v>Attempt logout</x:v>
      </x:c>
      <x:c r="F216" t="str">
        <x:v>Pass</x:v>
      </x:c>
      <x:c r="G216" t="n">
        <x:v>2</x:v>
      </x:c>
      <x:c r="H216" s="16" t="str">
        <x:v>Small text caused readability issues.</x:v>
      </x:c>
    </x:row>
    <x:row r="217">
      <x:c r="A217" t="n">
        <x:v>22</x:v>
      </x:c>
      <x:c r="B217" t="str">
        <x:v>Computer</x:v>
      </x:c>
      <x:c r="C217" t="str">
        <x:v>Female</x:v>
      </x:c>
      <x:c r="D217" t="n">
        <x:v>42.5</x:v>
      </x:c>
      <x:c r="E217" t="str">
        <x:v>Return to login page</x:v>
      </x:c>
      <x:c r="F217" t="str">
        <x:v>Fail</x:v>
      </x:c>
      <x:c r="G217" t="n">
        <x:v>0</x:v>
      </x:c>
      <x:c r="H217" s="16" t="str">
        <x:v>Participant accidentally clicked logout button.</x:v>
      </x:c>
    </x:row>
    <x:row r="218">
      <x:c r="A218" t="n">
        <x:v>22</x:v>
      </x:c>
      <x:c r="B218" t="str">
        <x:v>Computer</x:v>
      </x:c>
      <x:c r="C218" t="str">
        <x:v>Female</x:v>
      </x:c>
      <x:c r="D218" t="n">
        <x:v>42.5</x:v>
      </x:c>
      <x:c r="E218" t="str">
        <x:v>Login again</x:v>
      </x:c>
      <x:c r="F218" t="str">
        <x:v>Pass</x:v>
      </x:c>
      <x:c r="G218" t="n">
        <x:v>2</x:v>
      </x:c>
      <x:c r="H218" s="16" t="str">
        <x:v>User hesitated while locating navigation tabs.</x:v>
      </x:c>
    </x:row>
    <x:row r="219">
      <x:c r="A219" t="n">
        <x:v>22</x:v>
      </x:c>
      <x:c r="B219" t="str">
        <x:v>Computer</x:v>
      </x:c>
      <x:c r="C219" t="str">
        <x:v>Female</x:v>
      </x:c>
      <x:c r="D219" t="n">
        <x:v>42.5</x:v>
      </x:c>
      <x:c r="E219" t="str">
        <x:v>Open My Account</x:v>
      </x:c>
      <x:c r="F219" t="str">
        <x:v>Pass</x:v>
      </x:c>
      <x:c r="G219" t="n">
        <x:v>0</x:v>
      </x:c>
      <x:c r="H219" s="16" t="str">
        <x:v>User hesitated while locating navigation tabs.</x:v>
      </x:c>
    </x:row>
    <x:row r="220">
      <x:c r="A220" t="n">
        <x:v>22</x:v>
      </x:c>
      <x:c r="B220" t="str">
        <x:v>Computer</x:v>
      </x:c>
      <x:c r="C220" t="str">
        <x:v>Female</x:v>
      </x:c>
      <x:c r="D220" t="n">
        <x:v>42.5</x:v>
      </x:c>
      <x:c r="E220" t="str">
        <x:v>Find Offered Subjects</x:v>
      </x:c>
      <x:c r="F220" t="str">
        <x:v>Fail</x:v>
      </x:c>
      <x:c r="G220" t="n">
        <x:v>0</x:v>
      </x:c>
      <x:c r="H220" s="16" t="str">
        <x:v>Participant accidentally clicked logout button.</x:v>
      </x:c>
    </x:row>
    <x:row r="221">
      <x:c r="A221" t="n">
        <x:v>22</x:v>
      </x:c>
      <x:c r="B221" t="str">
        <x:v>Computer</x:v>
      </x:c>
      <x:c r="C221" t="str">
        <x:v>Female</x:v>
      </x:c>
      <x:c r="D221" t="n">
        <x:v>42.5</x:v>
      </x:c>
      <x:c r="E221" t="str">
        <x:v>Navigate Clearance</x:v>
      </x:c>
      <x:c r="F221" t="str">
        <x:v>Fail</x:v>
      </x:c>
      <x:c r="G221" t="n">
        <x:v>2</x:v>
      </x:c>
      <x:c r="H221" s="16" t="str">
        <x:v>User hesitated while locating navigation tabs.</x:v>
      </x:c>
    </x:row>
    <x:row r="222">
      <x:c r="A222" t="n">
        <x:v>22</x:v>
      </x:c>
      <x:c r="B222" t="str">
        <x:v>Computer</x:v>
      </x:c>
      <x:c r="C222" t="str">
        <x:v>Female</x:v>
      </x:c>
      <x:c r="D222" t="n">
        <x:v>42.5</x:v>
      </x:c>
      <x:c r="E222" t="str">
        <x:v>View account information</x:v>
      </x:c>
      <x:c r="F222" t="str">
        <x:v>Fail</x:v>
      </x:c>
      <x:c r="G222" t="n">
        <x:v>3</x:v>
      </x:c>
      <x:c r="H222" s="16" t="str">
        <x:v>User relied on trial and error to proceed.</x:v>
      </x:c>
    </x:row>
    <x:row r="223">
      <x:c r="A223" t="n">
        <x:v>23</x:v>
      </x:c>
      <x:c r="B223" t="str">
        <x:v>Computer</x:v>
      </x:c>
      <x:c r="C223" t="str">
        <x:v>Female</x:v>
      </x:c>
      <x:c r="D223" t="n">
        <x:v>50</x:v>
      </x:c>
      <x:c r="E223" t="str">
        <x:v>View offered subjects</x:v>
      </x:c>
      <x:c r="F223" t="str">
        <x:v>Pass</x:v>
      </x:c>
      <x:c r="G223" t="n">
        <x:v>0</x:v>
      </x:c>
      <x:c r="H223" s="16" t="str">
        <x:v>User relied on trial and error to proceed.</x:v>
      </x:c>
    </x:row>
    <x:row r="224">
      <x:c r="A224" t="n">
        <x:v>23</x:v>
      </x:c>
      <x:c r="B224" t="str">
        <x:v>Computer</x:v>
      </x:c>
      <x:c r="C224" t="str">
        <x:v>Female</x:v>
      </x:c>
      <x:c r="D224" t="n">
        <x:v>50</x:v>
      </x:c>
      <x:c r="E224" t="str">
        <x:v>Navigate to Home page</x:v>
      </x:c>
      <x:c r="F224" t="str">
        <x:v>Assist</x:v>
      </x:c>
      <x:c r="G224" t="n">
        <x:v>1</x:v>
      </x:c>
      <x:c r="H224" s="16" t="str">
        <x:v>User hesitated while locating navigation tabs.</x:v>
      </x:c>
    </x:row>
    <x:row r="225">
      <x:c r="A225" t="n">
        <x:v>23</x:v>
      </x:c>
      <x:c r="B225" t="str">
        <x:v>Computer</x:v>
      </x:c>
      <x:c r="C225" t="str">
        <x:v>Female</x:v>
      </x:c>
      <x:c r="D225" t="n">
        <x:v>50</x:v>
      </x:c>
      <x:c r="E225" t="str">
        <x:v>Login using credentials</x:v>
      </x:c>
      <x:c r="F225" t="str">
        <x:v>Pass</x:v>
      </x:c>
      <x:c r="G225" t="n">
        <x:v>2</x:v>
      </x:c>
      <x:c r="H225" s="16" t="str">
        <x:v>User hesitated while locating navigation tabs.</x:v>
      </x:c>
    </x:row>
    <x:row r="226">
      <x:c r="A226" t="n">
        <x:v>23</x:v>
      </x:c>
      <x:c r="B226" t="str">
        <x:v>Computer</x:v>
      </x:c>
      <x:c r="C226" t="str">
        <x:v>Female</x:v>
      </x:c>
      <x:c r="D226" t="n">
        <x:v>50</x:v>
      </x:c>
      <x:c r="E226" t="str">
        <x:v>Attempt logout</x:v>
      </x:c>
      <x:c r="F226" t="str">
        <x:v>Fail</x:v>
      </x:c>
      <x:c r="G226" t="n">
        <x:v>1</x:v>
      </x:c>
      <x:c r="H226" s="16" t="str">
        <x:v>Small text caused readability issues.</x:v>
      </x:c>
    </x:row>
    <x:row r="227">
      <x:c r="A227" t="n">
        <x:v>23</x:v>
      </x:c>
      <x:c r="B227" t="str">
        <x:v>Computer</x:v>
      </x:c>
      <x:c r="C227" t="str">
        <x:v>Female</x:v>
      </x:c>
      <x:c r="D227" t="n">
        <x:v>50</x:v>
      </x:c>
      <x:c r="E227" t="str">
        <x:v>Return to login page</x:v>
      </x:c>
      <x:c r="F227" t="str">
        <x:v>Pass</x:v>
      </x:c>
      <x:c r="G227" t="n">
        <x:v>1</x:v>
      </x:c>
      <x:c r="H227" s="16" t="str">
        <x:v>Small text caused readability issues.</x:v>
      </x:c>
    </x:row>
    <x:row r="228">
      <x:c r="A228" t="n">
        <x:v>23</x:v>
      </x:c>
      <x:c r="B228" t="str">
        <x:v>Computer</x:v>
      </x:c>
      <x:c r="C228" t="str">
        <x:v>Female</x:v>
      </x:c>
      <x:c r="D228" t="n">
        <x:v>50</x:v>
      </x:c>
      <x:c r="E228" t="str">
        <x:v>Login again</x:v>
      </x:c>
      <x:c r="F228" t="str">
        <x:v>Pass</x:v>
      </x:c>
      <x:c r="G228" t="n">
        <x:v>3</x:v>
      </x:c>
      <x:c r="H228" s="16" t="str">
        <x:v>User hesitated while locating navigation tabs.</x:v>
      </x:c>
    </x:row>
    <x:row r="229">
      <x:c r="A229" t="n">
        <x:v>23</x:v>
      </x:c>
      <x:c r="B229" t="str">
        <x:v>Computer</x:v>
      </x:c>
      <x:c r="C229" t="str">
        <x:v>Female</x:v>
      </x:c>
      <x:c r="D229" t="n">
        <x:v>50</x:v>
      </x:c>
      <x:c r="E229" t="str">
        <x:v>Open My Account</x:v>
      </x:c>
      <x:c r="F229" t="str">
        <x:v>Pass</x:v>
      </x:c>
      <x:c r="G229" t="n">
        <x:v>3</x:v>
      </x:c>
      <x:c r="H229" s="16" t="str">
        <x:v>Small text caused readability issues.</x:v>
      </x:c>
    </x:row>
    <x:row r="230">
      <x:c r="A230" t="n">
        <x:v>23</x:v>
      </x:c>
      <x:c r="B230" t="str">
        <x:v>Computer</x:v>
      </x:c>
      <x:c r="C230" t="str">
        <x:v>Female</x:v>
      </x:c>
      <x:c r="D230" t="n">
        <x:v>50</x:v>
      </x:c>
      <x:c r="E230" t="str">
        <x:v>Find Offered Subjects</x:v>
      </x:c>
      <x:c r="F230" t="str">
        <x:v>Pass</x:v>
      </x:c>
      <x:c r="G230" t="n">
        <x:v>1</x:v>
      </x:c>
      <x:c r="H230" s="16" t="str">
        <x:v>Participant accidentally clicked logout button.</x:v>
      </x:c>
    </x:row>
    <x:row r="231">
      <x:c r="A231" t="n">
        <x:v>23</x:v>
      </x:c>
      <x:c r="B231" t="str">
        <x:v>Computer</x:v>
      </x:c>
      <x:c r="C231" t="str">
        <x:v>Female</x:v>
      </x:c>
      <x:c r="D231" t="n">
        <x:v>50</x:v>
      </x:c>
      <x:c r="E231" t="str">
        <x:v>Navigate Clearance</x:v>
      </x:c>
      <x:c r="F231" t="str">
        <x:v>Assist</x:v>
      </x:c>
      <x:c r="G231" t="n">
        <x:v>2</x:v>
      </x:c>
      <x:c r="H231" s="16" t="str">
        <x:v>Task completed smoothly after brief exploration.</x:v>
      </x:c>
    </x:row>
    <x:row r="232">
      <x:c r="A232" t="n">
        <x:v>23</x:v>
      </x:c>
      <x:c r="B232" t="str">
        <x:v>Computer</x:v>
      </x:c>
      <x:c r="C232" t="str">
        <x:v>Female</x:v>
      </x:c>
      <x:c r="D232" t="n">
        <x:v>50</x:v>
      </x:c>
      <x:c r="E232" t="str">
        <x:v>View account information</x:v>
      </x:c>
      <x:c r="F232" t="str">
        <x:v>Pass</x:v>
      </x:c>
      <x:c r="G232" t="n">
        <x:v>3</x:v>
      </x:c>
      <x:c r="H232" s="16" t="str">
        <x:v>User relied on trial and error to proceed.</x:v>
      </x:c>
    </x:row>
    <x:row r="233">
      <x:c r="A233" t="n">
        <x:v>24</x:v>
      </x:c>
      <x:c r="B233" t="str">
        <x:v>Computer</x:v>
      </x:c>
      <x:c r="C233" t="str">
        <x:v>Male</x:v>
      </x:c>
      <x:c r="D233" t="n">
        <x:v>52.5</x:v>
      </x:c>
      <x:c r="E233" t="str">
        <x:v>View offered subjects</x:v>
      </x:c>
      <x:c r="F233" t="str">
        <x:v>Fail</x:v>
      </x:c>
      <x:c r="G233" t="n">
        <x:v>2</x:v>
      </x:c>
      <x:c r="H233" s="16" t="str">
        <x:v>Participant accidentally clicked logout button.</x:v>
      </x:c>
    </x:row>
    <x:row r="234">
      <x:c r="A234" t="n">
        <x:v>24</x:v>
      </x:c>
      <x:c r="B234" t="str">
        <x:v>Computer</x:v>
      </x:c>
      <x:c r="C234" t="str">
        <x:v>Male</x:v>
      </x:c>
      <x:c r="D234" t="n">
        <x:v>52.5</x:v>
      </x:c>
      <x:c r="E234" t="str">
        <x:v>Navigate to Home page</x:v>
      </x:c>
      <x:c r="F234" t="str">
        <x:v>Pass</x:v>
      </x:c>
      <x:c r="G234" t="n">
        <x:v>3</x:v>
      </x:c>
      <x:c r="H234" s="16" t="str">
        <x:v>Participant accidentally clicked logout button.</x:v>
      </x:c>
    </x:row>
    <x:row r="235">
      <x:c r="A235" t="n">
        <x:v>24</x:v>
      </x:c>
      <x:c r="B235" t="str">
        <x:v>Computer</x:v>
      </x:c>
      <x:c r="C235" t="str">
        <x:v>Male</x:v>
      </x:c>
      <x:c r="D235" t="n">
        <x:v>52.5</x:v>
      </x:c>
      <x:c r="E235" t="str">
        <x:v>Login using credentials</x:v>
      </x:c>
      <x:c r="F235" t="str">
        <x:v>Pass</x:v>
      </x:c>
      <x:c r="G235" t="n">
        <x:v>3</x:v>
      </x:c>
      <x:c r="H235" s="16" t="str">
        <x:v>Navigation felt confusing at first.</x:v>
      </x:c>
    </x:row>
    <x:row r="236">
      <x:c r="A236" t="n">
        <x:v>24</x:v>
      </x:c>
      <x:c r="B236" t="str">
        <x:v>Computer</x:v>
      </x:c>
      <x:c r="C236" t="str">
        <x:v>Male</x:v>
      </x:c>
      <x:c r="D236" t="n">
        <x:v>52.5</x:v>
      </x:c>
      <x:c r="E236" t="str">
        <x:v>Attempt logout</x:v>
      </x:c>
      <x:c r="F236" t="str">
        <x:v>Pass</x:v>
      </x:c>
      <x:c r="G236" t="n">
        <x:v>1</x:v>
      </x:c>
      <x:c r="H236" s="16" t="str">
        <x:v>Navigation felt confusing at first.</x:v>
      </x:c>
    </x:row>
    <x:row r="237">
      <x:c r="A237" t="n">
        <x:v>24</x:v>
      </x:c>
      <x:c r="B237" t="str">
        <x:v>Computer</x:v>
      </x:c>
      <x:c r="C237" t="str">
        <x:v>Male</x:v>
      </x:c>
      <x:c r="D237" t="n">
        <x:v>52.5</x:v>
      </x:c>
      <x:c r="E237" t="str">
        <x:v>Return to login page</x:v>
      </x:c>
      <x:c r="F237" t="str">
        <x:v>Pass</x:v>
      </x:c>
      <x:c r="G237" t="n">
        <x:v>2</x:v>
      </x:c>
      <x:c r="H237" s="16" t="str">
        <x:v>User hesitated while locating navigation tabs.</x:v>
      </x:c>
    </x:row>
    <x:row r="238">
      <x:c r="A238" t="n">
        <x:v>24</x:v>
      </x:c>
      <x:c r="B238" t="str">
        <x:v>Computer</x:v>
      </x:c>
      <x:c r="C238" t="str">
        <x:v>Male</x:v>
      </x:c>
      <x:c r="D238" t="n">
        <x:v>52.5</x:v>
      </x:c>
      <x:c r="E238" t="str">
        <x:v>Login again</x:v>
      </x:c>
      <x:c r="F238" t="str">
        <x:v>Pass</x:v>
      </x:c>
      <x:c r="G238" t="n">
        <x:v>0</x:v>
      </x:c>
      <x:c r="H238" s="16" t="str">
        <x:v>Navigation felt confusing at first.</x:v>
      </x:c>
    </x:row>
    <x:row r="239">
      <x:c r="A239" t="n">
        <x:v>24</x:v>
      </x:c>
      <x:c r="B239" t="str">
        <x:v>Computer</x:v>
      </x:c>
      <x:c r="C239" t="str">
        <x:v>Male</x:v>
      </x:c>
      <x:c r="D239" t="n">
        <x:v>52.5</x:v>
      </x:c>
      <x:c r="E239" t="str">
        <x:v>Open My Account</x:v>
      </x:c>
      <x:c r="F239" t="str">
        <x:v>Pass</x:v>
      </x:c>
      <x:c r="G239" t="n">
        <x:v>3</x:v>
      </x:c>
      <x:c r="H239" s="16" t="str">
        <x:v>User hesitated while locating navigation tabs.</x:v>
      </x:c>
    </x:row>
    <x:row r="240">
      <x:c r="A240" t="n">
        <x:v>24</x:v>
      </x:c>
      <x:c r="B240" t="str">
        <x:v>Computer</x:v>
      </x:c>
      <x:c r="C240" t="str">
        <x:v>Male</x:v>
      </x:c>
      <x:c r="D240" t="n">
        <x:v>52.5</x:v>
      </x:c>
      <x:c r="E240" t="str">
        <x:v>Find Offered Subjects</x:v>
      </x:c>
      <x:c r="F240" t="str">
        <x:v>Pass</x:v>
      </x:c>
      <x:c r="G240" t="n">
        <x:v>3</x:v>
      </x:c>
      <x:c r="H240" s="16" t="str">
        <x:v>Task completed smoothly after brief exploration.</x:v>
      </x:c>
    </x:row>
    <x:row r="241">
      <x:c r="A241" t="n">
        <x:v>24</x:v>
      </x:c>
      <x:c r="B241" t="str">
        <x:v>Computer</x:v>
      </x:c>
      <x:c r="C241" t="str">
        <x:v>Male</x:v>
      </x:c>
      <x:c r="D241" t="n">
        <x:v>52.5</x:v>
      </x:c>
      <x:c r="E241" t="str">
        <x:v>Navigate Clearance</x:v>
      </x:c>
      <x:c r="F241" t="str">
        <x:v>Pass</x:v>
      </x:c>
      <x:c r="G241" t="n">
        <x:v>3</x:v>
      </x:c>
      <x:c r="H241" s="16" t="str">
        <x:v>User relied on trial and error to proceed.</x:v>
      </x:c>
    </x:row>
    <x:row r="242">
      <x:c r="A242" t="n">
        <x:v>24</x:v>
      </x:c>
      <x:c r="B242" t="str">
        <x:v>Computer</x:v>
      </x:c>
      <x:c r="C242" t="str">
        <x:v>Male</x:v>
      </x:c>
      <x:c r="D242" t="n">
        <x:v>52.5</x:v>
      </x:c>
      <x:c r="E242" t="str">
        <x:v>View account information</x:v>
      </x:c>
      <x:c r="F242" t="str">
        <x:v>Pass</x:v>
      </x:c>
      <x:c r="G242" t="n">
        <x:v>1</x:v>
      </x:c>
      <x:c r="H242" s="16" t="str">
        <x:v>Task completed smoothly after brief exploration.</x:v>
      </x:c>
    </x:row>
    <x:row r="243">
      <x:c r="A243" t="n">
        <x:v>25</x:v>
      </x:c>
      <x:c r="B243" t="str">
        <x:v>Computer</x:v>
      </x:c>
      <x:c r="C243" t="str">
        <x:v>Female</x:v>
      </x:c>
      <x:c r="D243" t="n">
        <x:v>35</x:v>
      </x:c>
      <x:c r="E243" t="str">
        <x:v>View offered subjects</x:v>
      </x:c>
      <x:c r="F243" t="str">
        <x:v>Pass</x:v>
      </x:c>
      <x:c r="G243" t="n">
        <x:v>0</x:v>
      </x:c>
      <x:c r="H243" s="16" t="str">
        <x:v>Task completed smoothly after brief exploration.</x:v>
      </x:c>
    </x:row>
    <x:row r="244">
      <x:c r="A244" t="n">
        <x:v>25</x:v>
      </x:c>
      <x:c r="B244" t="str">
        <x:v>Computer</x:v>
      </x:c>
      <x:c r="C244" t="str">
        <x:v>Female</x:v>
      </x:c>
      <x:c r="D244" t="n">
        <x:v>35</x:v>
      </x:c>
      <x:c r="E244" t="str">
        <x:v>Navigate to Home page</x:v>
      </x:c>
      <x:c r="F244" t="str">
        <x:v>Assist</x:v>
      </x:c>
      <x:c r="G244" t="n">
        <x:v>2</x:v>
      </x:c>
      <x:c r="H244" s="16" t="str">
        <x:v>Participant accidentally clicked logout button.</x:v>
      </x:c>
    </x:row>
    <x:row r="245">
      <x:c r="A245" t="n">
        <x:v>25</x:v>
      </x:c>
      <x:c r="B245" t="str">
        <x:v>Computer</x:v>
      </x:c>
      <x:c r="C245" t="str">
        <x:v>Female</x:v>
      </x:c>
      <x:c r="D245" t="n">
        <x:v>35</x:v>
      </x:c>
      <x:c r="E245" t="str">
        <x:v>Login using credentials</x:v>
      </x:c>
      <x:c r="F245" t="str">
        <x:v>Pass</x:v>
      </x:c>
      <x:c r="G245" t="n">
        <x:v>1</x:v>
      </x:c>
      <x:c r="H245" s="16" t="str">
        <x:v>Small text caused readability issues.</x:v>
      </x:c>
    </x:row>
    <x:row r="246">
      <x:c r="A246" t="n">
        <x:v>25</x:v>
      </x:c>
      <x:c r="B246" t="str">
        <x:v>Computer</x:v>
      </x:c>
      <x:c r="C246" t="str">
        <x:v>Female</x:v>
      </x:c>
      <x:c r="D246" t="n">
        <x:v>35</x:v>
      </x:c>
      <x:c r="E246" t="str">
        <x:v>Attempt logout</x:v>
      </x:c>
      <x:c r="F246" t="str">
        <x:v>Pass</x:v>
      </x:c>
      <x:c r="G246" t="n">
        <x:v>3</x:v>
      </x:c>
      <x:c r="H246" s="16" t="str">
        <x:v>Task completed smoothly after brief exploration.</x:v>
      </x:c>
    </x:row>
    <x:row r="247">
      <x:c r="A247" t="n">
        <x:v>25</x:v>
      </x:c>
      <x:c r="B247" t="str">
        <x:v>Computer</x:v>
      </x:c>
      <x:c r="C247" t="str">
        <x:v>Female</x:v>
      </x:c>
      <x:c r="D247" t="n">
        <x:v>35</x:v>
      </x:c>
      <x:c r="E247" t="str">
        <x:v>Return to login page</x:v>
      </x:c>
      <x:c r="F247" t="str">
        <x:v>Fail</x:v>
      </x:c>
      <x:c r="G247" t="n">
        <x:v>0</x:v>
      </x:c>
      <x:c r="H247" s="16" t="str">
        <x:v>Small text caused readability issues.</x:v>
      </x:c>
    </x:row>
    <x:row r="248">
      <x:c r="A248" t="n">
        <x:v>25</x:v>
      </x:c>
      <x:c r="B248" t="str">
        <x:v>Computer</x:v>
      </x:c>
      <x:c r="C248" t="str">
        <x:v>Female</x:v>
      </x:c>
      <x:c r="D248" t="n">
        <x:v>35</x:v>
      </x:c>
      <x:c r="E248" t="str">
        <x:v>Login again</x:v>
      </x:c>
      <x:c r="F248" t="str">
        <x:v>Assist</x:v>
      </x:c>
      <x:c r="G248" t="n">
        <x:v>1</x:v>
      </x:c>
      <x:c r="H248" s="16" t="str">
        <x:v>Participant accidentally clicked logout button.</x:v>
      </x:c>
    </x:row>
    <x:row r="249">
      <x:c r="A249" t="n">
        <x:v>25</x:v>
      </x:c>
      <x:c r="B249" t="str">
        <x:v>Computer</x:v>
      </x:c>
      <x:c r="C249" t="str">
        <x:v>Female</x:v>
      </x:c>
      <x:c r="D249" t="n">
        <x:v>35</x:v>
      </x:c>
      <x:c r="E249" t="str">
        <x:v>Open My Account</x:v>
      </x:c>
      <x:c r="F249" t="str">
        <x:v>Assist</x:v>
      </x:c>
      <x:c r="G249" t="n">
        <x:v>0</x:v>
      </x:c>
      <x:c r="H249" s="16" t="str">
        <x:v>User hesitated while locating navigation tabs.</x:v>
      </x:c>
    </x:row>
    <x:row r="250">
      <x:c r="A250" t="n">
        <x:v>25</x:v>
      </x:c>
      <x:c r="B250" t="str">
        <x:v>Computer</x:v>
      </x:c>
      <x:c r="C250" t="str">
        <x:v>Female</x:v>
      </x:c>
      <x:c r="D250" t="n">
        <x:v>35</x:v>
      </x:c>
      <x:c r="E250" t="str">
        <x:v>Find Offered Subjects</x:v>
      </x:c>
      <x:c r="F250" t="str">
        <x:v>Pass</x:v>
      </x:c>
      <x:c r="G250" t="n">
        <x:v>3</x:v>
      </x:c>
      <x:c r="H250" s="16" t="str">
        <x:v>Navigation felt confusing at first.</x:v>
      </x:c>
    </x:row>
    <x:row r="251">
      <x:c r="A251" t="n">
        <x:v>25</x:v>
      </x:c>
      <x:c r="B251" t="str">
        <x:v>Computer</x:v>
      </x:c>
      <x:c r="C251" t="str">
        <x:v>Female</x:v>
      </x:c>
      <x:c r="D251" t="n">
        <x:v>35</x:v>
      </x:c>
      <x:c r="E251" t="str">
        <x:v>Navigate Clearance</x:v>
      </x:c>
      <x:c r="F251" t="str">
        <x:v>Pass</x:v>
      </x:c>
      <x:c r="G251" t="n">
        <x:v>0</x:v>
      </x:c>
      <x:c r="H251" s="16" t="str">
        <x:v>User hesitated while locating navigation tabs.</x:v>
      </x:c>
    </x:row>
    <x:row r="252">
      <x:c r="A252" t="n">
        <x:v>25</x:v>
      </x:c>
      <x:c r="B252" t="str">
        <x:v>Computer</x:v>
      </x:c>
      <x:c r="C252" t="str">
        <x:v>Female</x:v>
      </x:c>
      <x:c r="D252" t="n">
        <x:v>35</x:v>
      </x:c>
      <x:c r="E252" t="str">
        <x:v>View account information</x:v>
      </x:c>
      <x:c r="F252" t="str">
        <x:v>Pass</x:v>
      </x:c>
      <x:c r="G252" t="n">
        <x:v>3</x:v>
      </x:c>
      <x:c r="H252" s="16" t="str">
        <x:v>Task completed smoothly after brief exploration.</x:v>
      </x:c>
    </x:row>
    <x:row r="253">
      <x:c r="A253" t="n">
        <x:v>26</x:v>
      </x:c>
      <x:c r="B253" t="str">
        <x:v>Computer</x:v>
      </x:c>
      <x:c r="C253" t="str">
        <x:v>Female</x:v>
      </x:c>
      <x:c r="D253" t="n">
        <x:v>35</x:v>
      </x:c>
      <x:c r="E253" t="str">
        <x:v>View offered subjects</x:v>
      </x:c>
      <x:c r="F253" t="str">
        <x:v>Assist</x:v>
      </x:c>
      <x:c r="G253" t="n">
        <x:v>3</x:v>
      </x:c>
      <x:c r="H253" s="16" t="str">
        <x:v>Task completed smoothly after brief exploration.</x:v>
      </x:c>
    </x:row>
    <x:row r="254">
      <x:c r="A254" t="n">
        <x:v>26</x:v>
      </x:c>
      <x:c r="B254" t="str">
        <x:v>Computer</x:v>
      </x:c>
      <x:c r="C254" t="str">
        <x:v>Female</x:v>
      </x:c>
      <x:c r="D254" t="n">
        <x:v>35</x:v>
      </x:c>
      <x:c r="E254" t="str">
        <x:v>Navigate to Home page</x:v>
      </x:c>
      <x:c r="F254" t="str">
        <x:v>Fail</x:v>
      </x:c>
      <x:c r="G254" t="n">
        <x:v>0</x:v>
      </x:c>
      <x:c r="H254" s="16" t="str">
        <x:v>User relied on trial and error to proceed.</x:v>
      </x:c>
    </x:row>
    <x:row r="255">
      <x:c r="A255" t="n">
        <x:v>26</x:v>
      </x:c>
      <x:c r="B255" t="str">
        <x:v>Computer</x:v>
      </x:c>
      <x:c r="C255" t="str">
        <x:v>Female</x:v>
      </x:c>
      <x:c r="D255" t="n">
        <x:v>35</x:v>
      </x:c>
      <x:c r="E255" t="str">
        <x:v>Login using credentials</x:v>
      </x:c>
      <x:c r="F255" t="str">
        <x:v>Pass</x:v>
      </x:c>
      <x:c r="G255" t="n">
        <x:v>3</x:v>
      </x:c>
      <x:c r="H255" s="16" t="str">
        <x:v>Small text caused readability issues.</x:v>
      </x:c>
    </x:row>
    <x:row r="256">
      <x:c r="A256" t="n">
        <x:v>26</x:v>
      </x:c>
      <x:c r="B256" t="str">
        <x:v>Computer</x:v>
      </x:c>
      <x:c r="C256" t="str">
        <x:v>Female</x:v>
      </x:c>
      <x:c r="D256" t="n">
        <x:v>35</x:v>
      </x:c>
      <x:c r="E256" t="str">
        <x:v>Attempt logout</x:v>
      </x:c>
      <x:c r="F256" t="str">
        <x:v>Fail</x:v>
      </x:c>
      <x:c r="G256" t="n">
        <x:v>3</x:v>
      </x:c>
      <x:c r="H256" s="16" t="str">
        <x:v>Participant accidentally clicked logout button.</x:v>
      </x:c>
    </x:row>
    <x:row r="257">
      <x:c r="A257" t="n">
        <x:v>26</x:v>
      </x:c>
      <x:c r="B257" t="str">
        <x:v>Computer</x:v>
      </x:c>
      <x:c r="C257" t="str">
        <x:v>Female</x:v>
      </x:c>
      <x:c r="D257" t="n">
        <x:v>35</x:v>
      </x:c>
      <x:c r="E257" t="str">
        <x:v>Return to login page</x:v>
      </x:c>
      <x:c r="F257" t="str">
        <x:v>Fail</x:v>
      </x:c>
      <x:c r="G257" t="n">
        <x:v>0</x:v>
      </x:c>
      <x:c r="H257" s="16" t="str">
        <x:v>User relied on trial and error to proceed.</x:v>
      </x:c>
    </x:row>
    <x:row r="258">
      <x:c r="A258" t="n">
        <x:v>26</x:v>
      </x:c>
      <x:c r="B258" t="str">
        <x:v>Computer</x:v>
      </x:c>
      <x:c r="C258" t="str">
        <x:v>Female</x:v>
      </x:c>
      <x:c r="D258" t="n">
        <x:v>35</x:v>
      </x:c>
      <x:c r="E258" t="str">
        <x:v>Login again</x:v>
      </x:c>
      <x:c r="F258" t="str">
        <x:v>Pass</x:v>
      </x:c>
      <x:c r="G258" t="n">
        <x:v>1</x:v>
      </x:c>
      <x:c r="H258" s="16" t="str">
        <x:v>Small text caused readability issues.</x:v>
      </x:c>
    </x:row>
    <x:row r="259">
      <x:c r="A259" t="n">
        <x:v>26</x:v>
      </x:c>
      <x:c r="B259" t="str">
        <x:v>Computer</x:v>
      </x:c>
      <x:c r="C259" t="str">
        <x:v>Female</x:v>
      </x:c>
      <x:c r="D259" t="n">
        <x:v>35</x:v>
      </x:c>
      <x:c r="E259" t="str">
        <x:v>Open My Account</x:v>
      </x:c>
      <x:c r="F259" t="str">
        <x:v>Pass</x:v>
      </x:c>
      <x:c r="G259" t="n">
        <x:v>2</x:v>
      </x:c>
      <x:c r="H259" s="16" t="str">
        <x:v>Navigation felt confusing at first.</x:v>
      </x:c>
    </x:row>
    <x:row r="260">
      <x:c r="A260" t="n">
        <x:v>26</x:v>
      </x:c>
      <x:c r="B260" t="str">
        <x:v>Computer</x:v>
      </x:c>
      <x:c r="C260" t="str">
        <x:v>Female</x:v>
      </x:c>
      <x:c r="D260" t="n">
        <x:v>35</x:v>
      </x:c>
      <x:c r="E260" t="str">
        <x:v>Find Offered Subjects</x:v>
      </x:c>
      <x:c r="F260" t="str">
        <x:v>Pass</x:v>
      </x:c>
      <x:c r="G260" t="n">
        <x:v>2</x:v>
      </x:c>
      <x:c r="H260" s="16" t="str">
        <x:v>Participant accidentally clicked logout button.</x:v>
      </x:c>
    </x:row>
    <x:row r="261">
      <x:c r="A261" t="n">
        <x:v>26</x:v>
      </x:c>
      <x:c r="B261" t="str">
        <x:v>Computer</x:v>
      </x:c>
      <x:c r="C261" t="str">
        <x:v>Female</x:v>
      </x:c>
      <x:c r="D261" t="n">
        <x:v>35</x:v>
      </x:c>
      <x:c r="E261" t="str">
        <x:v>Navigate Clearance</x:v>
      </x:c>
      <x:c r="F261" t="str">
        <x:v>Pass</x:v>
      </x:c>
      <x:c r="G261" t="n">
        <x:v>0</x:v>
      </x:c>
      <x:c r="H261" s="16" t="str">
        <x:v>User hesitated while locating navigation tabs.</x:v>
      </x:c>
    </x:row>
    <x:row r="262">
      <x:c r="A262" t="n">
        <x:v>26</x:v>
      </x:c>
      <x:c r="B262" t="str">
        <x:v>Computer</x:v>
      </x:c>
      <x:c r="C262" t="str">
        <x:v>Female</x:v>
      </x:c>
      <x:c r="D262" t="n">
        <x:v>35</x:v>
      </x:c>
      <x:c r="E262" t="str">
        <x:v>View account information</x:v>
      </x:c>
      <x:c r="F262" t="str">
        <x:v>Assist</x:v>
      </x:c>
      <x:c r="G262" t="n">
        <x:v>3</x:v>
      </x:c>
      <x:c r="H262" s="16" t="str">
        <x:v>Navigation felt confusing at first.</x:v>
      </x:c>
    </x:row>
    <x:row r="263">
      <x:c r="A263" t="n">
        <x:v>27</x:v>
      </x:c>
      <x:c r="B263" t="str">
        <x:v>Mobile</x:v>
      </x:c>
      <x:c r="C263" t="str">
        <x:v>Male</x:v>
      </x:c>
      <x:c r="D263" t="n">
        <x:v>47.5</x:v>
      </x:c>
      <x:c r="E263" t="str">
        <x:v>View offered subjects</x:v>
      </x:c>
      <x:c r="F263" t="str">
        <x:v>Fail</x:v>
      </x:c>
      <x:c r="G263" t="n">
        <x:v>1</x:v>
      </x:c>
      <x:c r="H263" s="16" t="str">
        <x:v>User hesitated while locating navigation tabs.</x:v>
      </x:c>
    </x:row>
    <x:row r="264">
      <x:c r="A264" t="n">
        <x:v>27</x:v>
      </x:c>
      <x:c r="B264" t="str">
        <x:v>Mobile</x:v>
      </x:c>
      <x:c r="C264" t="str">
        <x:v>Male</x:v>
      </x:c>
      <x:c r="D264" t="n">
        <x:v>47.5</x:v>
      </x:c>
      <x:c r="E264" t="str">
        <x:v>Navigate to Home page</x:v>
      </x:c>
      <x:c r="F264" t="str">
        <x:v>Pass</x:v>
      </x:c>
      <x:c r="G264" t="n">
        <x:v>1</x:v>
      </x:c>
      <x:c r="H264" s="16" t="str">
        <x:v>Navigation felt confusing at first.</x:v>
      </x:c>
    </x:row>
    <x:row r="265">
      <x:c r="A265" t="n">
        <x:v>27</x:v>
      </x:c>
      <x:c r="B265" t="str">
        <x:v>Mobile</x:v>
      </x:c>
      <x:c r="C265" t="str">
        <x:v>Male</x:v>
      </x:c>
      <x:c r="D265" t="n">
        <x:v>47.5</x:v>
      </x:c>
      <x:c r="E265" t="str">
        <x:v>Login using credentials</x:v>
      </x:c>
      <x:c r="F265" t="str">
        <x:v>Fail</x:v>
      </x:c>
      <x:c r="G265" t="n">
        <x:v>2</x:v>
      </x:c>
      <x:c r="H265" s="16" t="str">
        <x:v>Participant accidentally clicked logout button.</x:v>
      </x:c>
    </x:row>
    <x:row r="266">
      <x:c r="A266" t="n">
        <x:v>27</x:v>
      </x:c>
      <x:c r="B266" t="str">
        <x:v>Mobile</x:v>
      </x:c>
      <x:c r="C266" t="str">
        <x:v>Male</x:v>
      </x:c>
      <x:c r="D266" t="n">
        <x:v>47.5</x:v>
      </x:c>
      <x:c r="E266" t="str">
        <x:v>Attempt logout</x:v>
      </x:c>
      <x:c r="F266" t="str">
        <x:v>Assist</x:v>
      </x:c>
      <x:c r="G266" t="n">
        <x:v>0</x:v>
      </x:c>
      <x:c r="H266" s="16" t="str">
        <x:v>User relied on trial and error to proceed.</x:v>
      </x:c>
    </x:row>
    <x:row r="267">
      <x:c r="A267" t="n">
        <x:v>27</x:v>
      </x:c>
      <x:c r="B267" t="str">
        <x:v>Mobile</x:v>
      </x:c>
      <x:c r="C267" t="str">
        <x:v>Male</x:v>
      </x:c>
      <x:c r="D267" t="n">
        <x:v>47.5</x:v>
      </x:c>
      <x:c r="E267" t="str">
        <x:v>Return to login page</x:v>
      </x:c>
      <x:c r="F267" t="str">
        <x:v>Fail</x:v>
      </x:c>
      <x:c r="G267" t="n">
        <x:v>2</x:v>
      </x:c>
      <x:c r="H267" s="16" t="str">
        <x:v>Navigation felt confusing at first.</x:v>
      </x:c>
    </x:row>
    <x:row r="268">
      <x:c r="A268" t="n">
        <x:v>27</x:v>
      </x:c>
      <x:c r="B268" t="str">
        <x:v>Mobile</x:v>
      </x:c>
      <x:c r="C268" t="str">
        <x:v>Male</x:v>
      </x:c>
      <x:c r="D268" t="n">
        <x:v>47.5</x:v>
      </x:c>
      <x:c r="E268" t="str">
        <x:v>Login again</x:v>
      </x:c>
      <x:c r="F268" t="str">
        <x:v>Assist</x:v>
      </x:c>
      <x:c r="G268" t="n">
        <x:v>2</x:v>
      </x:c>
      <x:c r="H268" s="16" t="str">
        <x:v>Participant accidentally clicked logout button.</x:v>
      </x:c>
    </x:row>
    <x:row r="269">
      <x:c r="A269" t="n">
        <x:v>27</x:v>
      </x:c>
      <x:c r="B269" t="str">
        <x:v>Mobile</x:v>
      </x:c>
      <x:c r="C269" t="str">
        <x:v>Male</x:v>
      </x:c>
      <x:c r="D269" t="n">
        <x:v>47.5</x:v>
      </x:c>
      <x:c r="E269" t="str">
        <x:v>Open My Account</x:v>
      </x:c>
      <x:c r="F269" t="str">
        <x:v>Pass</x:v>
      </x:c>
      <x:c r="G269" t="n">
        <x:v>3</x:v>
      </x:c>
      <x:c r="H269" s="16" t="str">
        <x:v>User relied on trial and error to proceed.</x:v>
      </x:c>
    </x:row>
    <x:row r="270">
      <x:c r="A270" t="n">
        <x:v>27</x:v>
      </x:c>
      <x:c r="B270" t="str">
        <x:v>Mobile</x:v>
      </x:c>
      <x:c r="C270" t="str">
        <x:v>Male</x:v>
      </x:c>
      <x:c r="D270" t="n">
        <x:v>47.5</x:v>
      </x:c>
      <x:c r="E270" t="str">
        <x:v>Find Offered Subjects</x:v>
      </x:c>
      <x:c r="F270" t="str">
        <x:v>Pass</x:v>
      </x:c>
      <x:c r="G270" t="n">
        <x:v>3</x:v>
      </x:c>
      <x:c r="H270" s="16" t="str">
        <x:v>Participant accidentally clicked logout button.</x:v>
      </x:c>
    </x:row>
    <x:row r="271">
      <x:c r="A271" t="n">
        <x:v>27</x:v>
      </x:c>
      <x:c r="B271" t="str">
        <x:v>Mobile</x:v>
      </x:c>
      <x:c r="C271" t="str">
        <x:v>Male</x:v>
      </x:c>
      <x:c r="D271" t="n">
        <x:v>47.5</x:v>
      </x:c>
      <x:c r="E271" t="str">
        <x:v>Navigate Clearance</x:v>
      </x:c>
      <x:c r="F271" t="str">
        <x:v>Pass</x:v>
      </x:c>
      <x:c r="G271" t="n">
        <x:v>1</x:v>
      </x:c>
      <x:c r="H271" s="16" t="str">
        <x:v>Navigation felt confusing at first.</x:v>
      </x:c>
    </x:row>
    <x:row r="272">
      <x:c r="A272" t="n">
        <x:v>27</x:v>
      </x:c>
      <x:c r="B272" t="str">
        <x:v>Mobile</x:v>
      </x:c>
      <x:c r="C272" t="str">
        <x:v>Male</x:v>
      </x:c>
      <x:c r="D272" t="n">
        <x:v>47.5</x:v>
      </x:c>
      <x:c r="E272" t="str">
        <x:v>View account information</x:v>
      </x:c>
      <x:c r="F272" t="str">
        <x:v>Pass</x:v>
      </x:c>
      <x:c r="G272" t="n">
        <x:v>0</x:v>
      </x:c>
      <x:c r="H272" s="16" t="str">
        <x:v>Small text caused readability issues.</x:v>
      </x:c>
    </x:row>
    <x:row r="273">
      <x:c r="A273" t="n">
        <x:v>28</x:v>
      </x:c>
      <x:c r="B273" t="str">
        <x:v>Computer</x:v>
      </x:c>
      <x:c r="C273" t="str">
        <x:v>Male</x:v>
      </x:c>
      <x:c r="D273" t="n">
        <x:v>45</x:v>
      </x:c>
      <x:c r="E273" t="str">
        <x:v>View offered subjects</x:v>
      </x:c>
      <x:c r="F273" t="str">
        <x:v>Pass</x:v>
      </x:c>
      <x:c r="G273" t="n">
        <x:v>0</x:v>
      </x:c>
      <x:c r="H273" s="16" t="str">
        <x:v>Small text caused readability issues.</x:v>
      </x:c>
    </x:row>
    <x:row r="274">
      <x:c r="A274" t="n">
        <x:v>28</x:v>
      </x:c>
      <x:c r="B274" t="str">
        <x:v>Computer</x:v>
      </x:c>
      <x:c r="C274" t="str">
        <x:v>Male</x:v>
      </x:c>
      <x:c r="D274" t="n">
        <x:v>45</x:v>
      </x:c>
      <x:c r="E274" t="str">
        <x:v>Navigate to Home page</x:v>
      </x:c>
      <x:c r="F274" t="str">
        <x:v>Pass</x:v>
      </x:c>
      <x:c r="G274" t="n">
        <x:v>0</x:v>
      </x:c>
      <x:c r="H274" s="16" t="str">
        <x:v>User relied on trial and error to proceed.</x:v>
      </x:c>
    </x:row>
    <x:row r="275">
      <x:c r="A275" t="n">
        <x:v>28</x:v>
      </x:c>
      <x:c r="B275" t="str">
        <x:v>Computer</x:v>
      </x:c>
      <x:c r="C275" t="str">
        <x:v>Male</x:v>
      </x:c>
      <x:c r="D275" t="n">
        <x:v>45</x:v>
      </x:c>
      <x:c r="E275" t="str">
        <x:v>Login using credentials</x:v>
      </x:c>
      <x:c r="F275" t="str">
        <x:v>Pass</x:v>
      </x:c>
      <x:c r="G275" t="n">
        <x:v>2</x:v>
      </x:c>
      <x:c r="H275" s="16" t="str">
        <x:v>User hesitated while locating navigation tabs.</x:v>
      </x:c>
    </x:row>
    <x:row r="276">
      <x:c r="A276" t="n">
        <x:v>28</x:v>
      </x:c>
      <x:c r="B276" t="str">
        <x:v>Computer</x:v>
      </x:c>
      <x:c r="C276" t="str">
        <x:v>Male</x:v>
      </x:c>
      <x:c r="D276" t="n">
        <x:v>45</x:v>
      </x:c>
      <x:c r="E276" t="str">
        <x:v>Attempt logout</x:v>
      </x:c>
      <x:c r="F276" t="str">
        <x:v>Pass</x:v>
      </x:c>
      <x:c r="G276" t="n">
        <x:v>2</x:v>
      </x:c>
      <x:c r="H276" s="16" t="str">
        <x:v>User hesitated while locating navigation tabs.</x:v>
      </x:c>
    </x:row>
    <x:row r="277">
      <x:c r="A277" t="n">
        <x:v>28</x:v>
      </x:c>
      <x:c r="B277" t="str">
        <x:v>Computer</x:v>
      </x:c>
      <x:c r="C277" t="str">
        <x:v>Male</x:v>
      </x:c>
      <x:c r="D277" t="n">
        <x:v>45</x:v>
      </x:c>
      <x:c r="E277" t="str">
        <x:v>Return to login page</x:v>
      </x:c>
      <x:c r="F277" t="str">
        <x:v>Pass</x:v>
      </x:c>
      <x:c r="G277" t="n">
        <x:v>1</x:v>
      </x:c>
      <x:c r="H277" s="16" t="str">
        <x:v>Task completed smoothly after brief exploration.</x:v>
      </x:c>
    </x:row>
    <x:row r="278">
      <x:c r="A278" t="n">
        <x:v>28</x:v>
      </x:c>
      <x:c r="B278" t="str">
        <x:v>Computer</x:v>
      </x:c>
      <x:c r="C278" t="str">
        <x:v>Male</x:v>
      </x:c>
      <x:c r="D278" t="n">
        <x:v>45</x:v>
      </x:c>
      <x:c r="E278" t="str">
        <x:v>Login again</x:v>
      </x:c>
      <x:c r="F278" t="str">
        <x:v>Assist</x:v>
      </x:c>
      <x:c r="G278" t="n">
        <x:v>1</x:v>
      </x:c>
      <x:c r="H278" s="16" t="str">
        <x:v>Task completed smoothly after brief exploration.</x:v>
      </x:c>
    </x:row>
    <x:row r="279">
      <x:c r="A279" t="n">
        <x:v>28</x:v>
      </x:c>
      <x:c r="B279" t="str">
        <x:v>Computer</x:v>
      </x:c>
      <x:c r="C279" t="str">
        <x:v>Male</x:v>
      </x:c>
      <x:c r="D279" t="n">
        <x:v>45</x:v>
      </x:c>
      <x:c r="E279" t="str">
        <x:v>Open My Account</x:v>
      </x:c>
      <x:c r="F279" t="str">
        <x:v>Fail</x:v>
      </x:c>
      <x:c r="G279" t="n">
        <x:v>1</x:v>
      </x:c>
      <x:c r="H279" s="16" t="str">
        <x:v>User relied on trial and error to proceed.</x:v>
      </x:c>
    </x:row>
    <x:row r="280">
      <x:c r="A280" t="n">
        <x:v>28</x:v>
      </x:c>
      <x:c r="B280" t="str">
        <x:v>Computer</x:v>
      </x:c>
      <x:c r="C280" t="str">
        <x:v>Male</x:v>
      </x:c>
      <x:c r="D280" t="n">
        <x:v>45</x:v>
      </x:c>
      <x:c r="E280" t="str">
        <x:v>Find Offered Subjects</x:v>
      </x:c>
      <x:c r="F280" t="str">
        <x:v>Assist</x:v>
      </x:c>
      <x:c r="G280" t="n">
        <x:v>1</x:v>
      </x:c>
      <x:c r="H280" s="16" t="str">
        <x:v>Task completed smoothly after brief exploration.</x:v>
      </x:c>
    </x:row>
    <x:row r="281">
      <x:c r="A281" t="n">
        <x:v>28</x:v>
      </x:c>
      <x:c r="B281" t="str">
        <x:v>Computer</x:v>
      </x:c>
      <x:c r="C281" t="str">
        <x:v>Male</x:v>
      </x:c>
      <x:c r="D281" t="n">
        <x:v>45</x:v>
      </x:c>
      <x:c r="E281" t="str">
        <x:v>Navigate Clearance</x:v>
      </x:c>
      <x:c r="F281" t="str">
        <x:v>Pass</x:v>
      </x:c>
      <x:c r="G281" t="n">
        <x:v>3</x:v>
      </x:c>
      <x:c r="H281" s="16" t="str">
        <x:v>Task completed smoothly after brief exploration.</x:v>
      </x:c>
    </x:row>
    <x:row r="282">
      <x:c r="A282" t="n">
        <x:v>28</x:v>
      </x:c>
      <x:c r="B282" t="str">
        <x:v>Computer</x:v>
      </x:c>
      <x:c r="C282" t="str">
        <x:v>Male</x:v>
      </x:c>
      <x:c r="D282" t="n">
        <x:v>45</x:v>
      </x:c>
      <x:c r="E282" t="str">
        <x:v>View account information</x:v>
      </x:c>
      <x:c r="F282" t="str">
        <x:v>Pass</x:v>
      </x:c>
      <x:c r="G282" t="n">
        <x:v>3</x:v>
      </x:c>
      <x:c r="H282" s="16" t="str">
        <x:v>Participant accidentally clicked logout button.</x:v>
      </x:c>
    </x:row>
    <x:row r="283">
      <x:c r="A283" t="n">
        <x:v>29</x:v>
      </x:c>
      <x:c r="B283" t="str">
        <x:v>Mobile</x:v>
      </x:c>
      <x:c r="C283" t="str">
        <x:v>Male</x:v>
      </x:c>
      <x:c r="D283" t="n">
        <x:v>57.5</x:v>
      </x:c>
      <x:c r="E283" t="str">
        <x:v>View offered subjects</x:v>
      </x:c>
      <x:c r="F283" t="str">
        <x:v>Pass</x:v>
      </x:c>
      <x:c r="G283" t="n">
        <x:v>1</x:v>
      </x:c>
      <x:c r="H283" s="16" t="str">
        <x:v>User relied on trial and error to proceed.</x:v>
      </x:c>
    </x:row>
    <x:row r="284">
      <x:c r="A284" t="n">
        <x:v>29</x:v>
      </x:c>
      <x:c r="B284" t="str">
        <x:v>Mobile</x:v>
      </x:c>
      <x:c r="C284" t="str">
        <x:v>Male</x:v>
      </x:c>
      <x:c r="D284" t="n">
        <x:v>57.5</x:v>
      </x:c>
      <x:c r="E284" t="str">
        <x:v>Navigate to Home page</x:v>
      </x:c>
      <x:c r="F284" t="str">
        <x:v>Pass</x:v>
      </x:c>
      <x:c r="G284" t="n">
        <x:v>0</x:v>
      </x:c>
      <x:c r="H284" s="16" t="str">
        <x:v>Small text caused readability issues.</x:v>
      </x:c>
    </x:row>
    <x:row r="285">
      <x:c r="A285" t="n">
        <x:v>29</x:v>
      </x:c>
      <x:c r="B285" t="str">
        <x:v>Mobile</x:v>
      </x:c>
      <x:c r="C285" t="str">
        <x:v>Male</x:v>
      </x:c>
      <x:c r="D285" t="n">
        <x:v>57.5</x:v>
      </x:c>
      <x:c r="E285" t="str">
        <x:v>Login using credentials</x:v>
      </x:c>
      <x:c r="F285" t="str">
        <x:v>Pass</x:v>
      </x:c>
      <x:c r="G285" t="n">
        <x:v>3</x:v>
      </x:c>
      <x:c r="H285" s="16" t="str">
        <x:v>User relied on trial and error to proceed.</x:v>
      </x:c>
    </x:row>
    <x:row r="286">
      <x:c r="A286" t="n">
        <x:v>29</x:v>
      </x:c>
      <x:c r="B286" t="str">
        <x:v>Mobile</x:v>
      </x:c>
      <x:c r="C286" t="str">
        <x:v>Male</x:v>
      </x:c>
      <x:c r="D286" t="n">
        <x:v>57.5</x:v>
      </x:c>
      <x:c r="E286" t="str">
        <x:v>Attempt logout</x:v>
      </x:c>
      <x:c r="F286" t="str">
        <x:v>Assist</x:v>
      </x:c>
      <x:c r="G286" t="n">
        <x:v>1</x:v>
      </x:c>
      <x:c r="H286" s="16" t="str">
        <x:v>Navigation felt confusing at first.</x:v>
      </x:c>
    </x:row>
    <x:row r="287">
      <x:c r="A287" t="n">
        <x:v>29</x:v>
      </x:c>
      <x:c r="B287" t="str">
        <x:v>Mobile</x:v>
      </x:c>
      <x:c r="C287" t="str">
        <x:v>Male</x:v>
      </x:c>
      <x:c r="D287" t="n">
        <x:v>57.5</x:v>
      </x:c>
      <x:c r="E287" t="str">
        <x:v>Return to login page</x:v>
      </x:c>
      <x:c r="F287" t="str">
        <x:v>Pass</x:v>
      </x:c>
      <x:c r="G287" t="n">
        <x:v>0</x:v>
      </x:c>
      <x:c r="H287" s="16" t="str">
        <x:v>User hesitated while locating navigation tabs.</x:v>
      </x:c>
    </x:row>
    <x:row r="288">
      <x:c r="A288" t="n">
        <x:v>29</x:v>
      </x:c>
      <x:c r="B288" t="str">
        <x:v>Mobile</x:v>
      </x:c>
      <x:c r="C288" t="str">
        <x:v>Male</x:v>
      </x:c>
      <x:c r="D288" t="n">
        <x:v>57.5</x:v>
      </x:c>
      <x:c r="E288" t="str">
        <x:v>Login again</x:v>
      </x:c>
      <x:c r="F288" t="str">
        <x:v>Assist</x:v>
      </x:c>
      <x:c r="G288" t="n">
        <x:v>1</x:v>
      </x:c>
      <x:c r="H288" s="16" t="str">
        <x:v>Small text caused readability issues.</x:v>
      </x:c>
    </x:row>
    <x:row r="289">
      <x:c r="A289" t="n">
        <x:v>29</x:v>
      </x:c>
      <x:c r="B289" t="str">
        <x:v>Mobile</x:v>
      </x:c>
      <x:c r="C289" t="str">
        <x:v>Male</x:v>
      </x:c>
      <x:c r="D289" t="n">
        <x:v>57.5</x:v>
      </x:c>
      <x:c r="E289" t="str">
        <x:v>Open My Account</x:v>
      </x:c>
      <x:c r="F289" t="str">
        <x:v>Pass</x:v>
      </x:c>
      <x:c r="G289" t="n">
        <x:v>1</x:v>
      </x:c>
      <x:c r="H289" s="16" t="str">
        <x:v>Small text caused readability issues.</x:v>
      </x:c>
    </x:row>
    <x:row r="290">
      <x:c r="A290" t="n">
        <x:v>29</x:v>
      </x:c>
      <x:c r="B290" t="str">
        <x:v>Mobile</x:v>
      </x:c>
      <x:c r="C290" t="str">
        <x:v>Male</x:v>
      </x:c>
      <x:c r="D290" t="n">
        <x:v>57.5</x:v>
      </x:c>
      <x:c r="E290" t="str">
        <x:v>Find Offered Subjects</x:v>
      </x:c>
      <x:c r="F290" t="str">
        <x:v>Pass</x:v>
      </x:c>
      <x:c r="G290" t="n">
        <x:v>2</x:v>
      </x:c>
      <x:c r="H290" s="16" t="str">
        <x:v>User hesitated while locating navigation tabs.</x:v>
      </x:c>
    </x:row>
    <x:row r="291">
      <x:c r="A291" t="n">
        <x:v>29</x:v>
      </x:c>
      <x:c r="B291" t="str">
        <x:v>Mobile</x:v>
      </x:c>
      <x:c r="C291" t="str">
        <x:v>Male</x:v>
      </x:c>
      <x:c r="D291" t="n">
        <x:v>57.5</x:v>
      </x:c>
      <x:c r="E291" t="str">
        <x:v>Navigate Clearance</x:v>
      </x:c>
      <x:c r="F291" t="str">
        <x:v>Pass</x:v>
      </x:c>
      <x:c r="G291" t="n">
        <x:v>0</x:v>
      </x:c>
      <x:c r="H291" s="16" t="str">
        <x:v>Task completed smoothly after brief exploration.</x:v>
      </x:c>
    </x:row>
    <x:row r="292">
      <x:c r="A292" t="n">
        <x:v>29</x:v>
      </x:c>
      <x:c r="B292" t="str">
        <x:v>Mobile</x:v>
      </x:c>
      <x:c r="C292" t="str">
        <x:v>Male</x:v>
      </x:c>
      <x:c r="D292" t="n">
        <x:v>57.5</x:v>
      </x:c>
      <x:c r="E292" t="str">
        <x:v>View account information</x:v>
      </x:c>
      <x:c r="F292" t="str">
        <x:v>Pass</x:v>
      </x:c>
      <x:c r="G292" t="n">
        <x:v>1</x:v>
      </x:c>
      <x:c r="H292" s="16" t="str">
        <x:v>Small text caused readability issues.</x:v>
      </x:c>
    </x:row>
    <x:row r="293">
      <x:c r="A293" t="n">
        <x:v>30</x:v>
      </x:c>
      <x:c r="B293" t="str">
        <x:v>Computer</x:v>
      </x:c>
      <x:c r="C293" t="str">
        <x:v>Female</x:v>
      </x:c>
      <x:c r="D293" t="n">
        <x:v>52.5</x:v>
      </x:c>
      <x:c r="E293" t="str">
        <x:v>View offered subjects</x:v>
      </x:c>
      <x:c r="F293" t="str">
        <x:v>Assist</x:v>
      </x:c>
      <x:c r="G293" t="n">
        <x:v>3</x:v>
      </x:c>
      <x:c r="H293" s="16" t="str">
        <x:v>Task completed smoothly after brief exploration.</x:v>
      </x:c>
    </x:row>
    <x:row r="294">
      <x:c r="A294" t="n">
        <x:v>30</x:v>
      </x:c>
      <x:c r="B294" t="str">
        <x:v>Computer</x:v>
      </x:c>
      <x:c r="C294" t="str">
        <x:v>Female</x:v>
      </x:c>
      <x:c r="D294" t="n">
        <x:v>52.5</x:v>
      </x:c>
      <x:c r="E294" t="str">
        <x:v>Navigate to Home page</x:v>
      </x:c>
      <x:c r="F294" t="str">
        <x:v>Pass</x:v>
      </x:c>
      <x:c r="G294" t="n">
        <x:v>3</x:v>
      </x:c>
      <x:c r="H294" s="16" t="str">
        <x:v>Participant accidentally clicked logout button.</x:v>
      </x:c>
    </x:row>
    <x:row r="295">
      <x:c r="A295" t="n">
        <x:v>30</x:v>
      </x:c>
      <x:c r="B295" t="str">
        <x:v>Computer</x:v>
      </x:c>
      <x:c r="C295" t="str">
        <x:v>Female</x:v>
      </x:c>
      <x:c r="D295" t="n">
        <x:v>52.5</x:v>
      </x:c>
      <x:c r="E295" t="str">
        <x:v>Login using credentials</x:v>
      </x:c>
      <x:c r="F295" t="str">
        <x:v>Pass</x:v>
      </x:c>
      <x:c r="G295" t="n">
        <x:v>0</x:v>
      </x:c>
      <x:c r="H295" s="16" t="str">
        <x:v>Task completed smoothly after brief exploration.</x:v>
      </x:c>
    </x:row>
    <x:row r="296">
      <x:c r="A296" t="n">
        <x:v>30</x:v>
      </x:c>
      <x:c r="B296" t="str">
        <x:v>Computer</x:v>
      </x:c>
      <x:c r="C296" t="str">
        <x:v>Female</x:v>
      </x:c>
      <x:c r="D296" t="n">
        <x:v>52.5</x:v>
      </x:c>
      <x:c r="E296" t="str">
        <x:v>Attempt logout</x:v>
      </x:c>
      <x:c r="F296" t="str">
        <x:v>Pass</x:v>
      </x:c>
      <x:c r="G296" t="n">
        <x:v>2</x:v>
      </x:c>
      <x:c r="H296" s="16" t="str">
        <x:v>Participant accidentally clicked logout button.</x:v>
      </x:c>
    </x:row>
    <x:row r="297">
      <x:c r="A297" t="n">
        <x:v>30</x:v>
      </x:c>
      <x:c r="B297" t="str">
        <x:v>Computer</x:v>
      </x:c>
      <x:c r="C297" t="str">
        <x:v>Female</x:v>
      </x:c>
      <x:c r="D297" t="n">
        <x:v>52.5</x:v>
      </x:c>
      <x:c r="E297" t="str">
        <x:v>Return to login page</x:v>
      </x:c>
      <x:c r="F297" t="str">
        <x:v>Fail</x:v>
      </x:c>
      <x:c r="G297" t="n">
        <x:v>0</x:v>
      </x:c>
      <x:c r="H297" s="16" t="str">
        <x:v>User relied on trial and error to proceed.</x:v>
      </x:c>
    </x:row>
    <x:row r="298">
      <x:c r="A298" t="n">
        <x:v>30</x:v>
      </x:c>
      <x:c r="B298" t="str">
        <x:v>Computer</x:v>
      </x:c>
      <x:c r="C298" t="str">
        <x:v>Female</x:v>
      </x:c>
      <x:c r="D298" t="n">
        <x:v>52.5</x:v>
      </x:c>
      <x:c r="E298" t="str">
        <x:v>Login again</x:v>
      </x:c>
      <x:c r="F298" t="str">
        <x:v>Pass</x:v>
      </x:c>
      <x:c r="G298" t="n">
        <x:v>0</x:v>
      </x:c>
      <x:c r="H298" s="16" t="str">
        <x:v>Navigation felt confusing at first.</x:v>
      </x:c>
    </x:row>
    <x:row r="299">
      <x:c r="A299" t="n">
        <x:v>30</x:v>
      </x:c>
      <x:c r="B299" t="str">
        <x:v>Computer</x:v>
      </x:c>
      <x:c r="C299" t="str">
        <x:v>Female</x:v>
      </x:c>
      <x:c r="D299" t="n">
        <x:v>52.5</x:v>
      </x:c>
      <x:c r="E299" t="str">
        <x:v>Open My Account</x:v>
      </x:c>
      <x:c r="F299" t="str">
        <x:v>Fail</x:v>
      </x:c>
      <x:c r="G299" t="n">
        <x:v>0</x:v>
      </x:c>
      <x:c r="H299" s="16" t="str">
        <x:v>User hesitated while locating navigation tabs.</x:v>
      </x:c>
    </x:row>
    <x:row r="300">
      <x:c r="A300" t="n">
        <x:v>30</x:v>
      </x:c>
      <x:c r="B300" t="str">
        <x:v>Computer</x:v>
      </x:c>
      <x:c r="C300" t="str">
        <x:v>Female</x:v>
      </x:c>
      <x:c r="D300" t="n">
        <x:v>52.5</x:v>
      </x:c>
      <x:c r="E300" t="str">
        <x:v>Find Offered Subjects</x:v>
      </x:c>
      <x:c r="F300" t="str">
        <x:v>Fail</x:v>
      </x:c>
      <x:c r="G300" t="n">
        <x:v>2</x:v>
      </x:c>
      <x:c r="H300" s="16" t="str">
        <x:v>Participant accidentally clicked logout button.</x:v>
      </x:c>
    </x:row>
    <x:row r="301">
      <x:c r="A301" t="n">
        <x:v>30</x:v>
      </x:c>
      <x:c r="B301" t="str">
        <x:v>Computer</x:v>
      </x:c>
      <x:c r="C301" t="str">
        <x:v>Female</x:v>
      </x:c>
      <x:c r="D301" t="n">
        <x:v>52.5</x:v>
      </x:c>
      <x:c r="E301" t="str">
        <x:v>Navigate Clearance</x:v>
      </x:c>
      <x:c r="F301" t="str">
        <x:v>Pass</x:v>
      </x:c>
      <x:c r="G301" t="n">
        <x:v>3</x:v>
      </x:c>
      <x:c r="H301" s="16" t="str">
        <x:v>User relied on trial and error to proceed.</x:v>
      </x:c>
    </x:row>
    <x:row r="302">
      <x:c r="A302" t="n">
        <x:v>30</x:v>
      </x:c>
      <x:c r="B302" t="str">
        <x:v>Computer</x:v>
      </x:c>
      <x:c r="C302" t="str">
        <x:v>Female</x:v>
      </x:c>
      <x:c r="D302" t="n">
        <x:v>52.5</x:v>
      </x:c>
      <x:c r="E302" t="str">
        <x:v>View account information</x:v>
      </x:c>
      <x:c r="F302" t="str">
        <x:v>Fail</x:v>
      </x:c>
      <x:c r="G302" t="n">
        <x:v>2</x:v>
      </x:c>
      <x:c r="H302" s="16" t="str">
        <x:v>Task completed smoothly after brief exploration.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bc7c3717ec04e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5.479999542236328" hidden="0" customWidth="1"/>
    <x:col min="3" max="3" width="18.84000015258789" hidden="0" customWidth="1"/>
    <x:col min="4" max="4" width="14.130000114440918" hidden="0" customWidth="1"/>
    <x:col min="5" max="5" width="17.5" hidden="0" customWidth="1"/>
    <x:col min="6" max="6" width="16.149999618530273" hidden="0" customWidth="1"/>
    <x:col min="7" max="7" width="18.84000015258789" hidden="0" customWidth="1"/>
    <x:col min="8" max="8" width="14.130000114440918" hidden="0" customWidth="1"/>
    <x:col min="9" max="9" width="16.81999969482422" hidden="0" customWidth="1"/>
    <x:col min="10" max="10" width="18.84000015258789" hidden="0" customWidth="1"/>
    <x:col min="11" max="11" width="19.520000457763672" hidden="0" customWidth="1"/>
    <x:col min="12" max="12" width="12.109999656677246" hidden="0" customWidth="1"/>
  </x:cols>
  <x:sheetData>
    <x:row r="1" ht="31.5" customHeight="1">
      <x:c r="A1" s="3" t="str">
        <x:v>System Usability Scale Responses</x:v>
      </x:c>
      <x:c r="B1" s="3" t="str">
        <x:v>System Usability Scale Responses</x:v>
      </x:c>
      <x:c r="C1" s="3" t="str">
        <x:v>System Usability Scale Responses</x:v>
      </x:c>
      <x:c r="D1" s="3" t="str">
        <x:v>System Usability Scale Responses</x:v>
      </x:c>
      <x:c r="E1" s="3" t="str">
        <x:v>System Usability Scale Responses</x:v>
      </x:c>
      <x:c r="F1" s="3" t="str">
        <x:v>System Usability Scale Responses</x:v>
      </x:c>
      <x:c r="G1" s="3" t="str">
        <x:v>System Usability Scale Responses</x:v>
      </x:c>
      <x:c r="H1" s="3" t="str">
        <x:v>System Usability Scale Responses</x:v>
      </x:c>
      <x:c r="I1" s="3" t="str">
        <x:v>System Usability Scale Responses</x:v>
      </x:c>
      <x:c r="J1" s="3" t="str">
        <x:v>System Usability Scale Responses</x:v>
      </x:c>
      <x:c r="K1" s="3" t="str">
        <x:v>System Usability Scale Responses</x:v>
      </x:c>
      <x:c r="L1" s="3" t="str">
        <x:v>System Usability Scale Responses</x:v>
      </x:c>
    </x:row>
    <x:row r="2">
      <x:c r="A2" s="11" t="str">
        <x:v>Participant</x:v>
      </x:c>
      <x:c r="B2" s="11" t="str">
        <x:v>Use frequently</x:v>
      </x:c>
      <x:c r="C2" s="11" t="str">
        <x:v>System complex</x:v>
      </x:c>
      <x:c r="D2" s="11" t="str">
        <x:v>Easy to use</x:v>
      </x:c>
      <x:c r="E2" s="11" t="str">
        <x:v>Need support</x:v>
      </x:c>
      <x:c r="F2" s="11" t="str">
        <x:v>Integrated</x:v>
      </x:c>
      <x:c r="G2" s="11" t="str">
        <x:v>Inconsistent</x:v>
      </x:c>
      <x:c r="H2" s="11" t="str">
        <x:v>Learn quickly</x:v>
      </x:c>
      <x:c r="I2" s="11" t="str">
        <x:v>Cumbersome</x:v>
      </x:c>
      <x:c r="J2" s="11" t="str">
        <x:v>Confident</x:v>
      </x:c>
      <x:c r="K2" s="11" t="str">
        <x:v>Need to learn</x:v>
      </x:c>
      <x:c r="L2" s="11" t="str">
        <x:v>SUS Score</x:v>
      </x:c>
    </x:row>
    <x:row r="3">
      <x:c r="A3" t="n">
        <x:v>1</x:v>
      </x:c>
      <x:c r="B3" s="17" t="n">
        <x:v>2</x:v>
      </x:c>
      <x:c r="C3" s="17" t="n">
        <x:v>4</x:v>
      </x:c>
      <x:c r="D3" s="17" t="n">
        <x:v>2</x:v>
      </x:c>
      <x:c r="E3" s="17" t="n">
        <x:v>4</x:v>
      </x:c>
      <x:c r="F3" s="17" t="n">
        <x:v>2</x:v>
      </x:c>
      <x:c r="G3" s="17" t="n">
        <x:v>4</x:v>
      </x:c>
      <x:c r="H3" s="17" t="n">
        <x:v>2</x:v>
      </x:c>
      <x:c r="I3" s="17" t="n">
        <x:v>4</x:v>
      </x:c>
      <x:c r="J3" s="17" t="n">
        <x:v>2</x:v>
      </x:c>
      <x:c r="K3" s="17"/>
      <x:c r="L3" s="12" t="n">
        <x:v>40</x:v>
      </x:c>
    </x:row>
    <x:row r="4">
      <x:c r="A4" t="n">
        <x:v>2</x:v>
      </x:c>
      <x:c r="B4" s="17" t="n">
        <x:v>2</x:v>
      </x:c>
      <x:c r="C4" s="17" t="n">
        <x:v>4</x:v>
      </x:c>
      <x:c r="D4" s="17" t="n">
        <x:v>2</x:v>
      </x:c>
      <x:c r="E4" s="17" t="n">
        <x:v>4</x:v>
      </x:c>
      <x:c r="F4" s="17" t="n">
        <x:v>2</x:v>
      </x:c>
      <x:c r="G4" s="17" t="n">
        <x:v>4</x:v>
      </x:c>
      <x:c r="H4" s="17" t="n">
        <x:v>2</x:v>
      </x:c>
      <x:c r="I4" s="17" t="n">
        <x:v>4</x:v>
      </x:c>
      <x:c r="J4" s="17" t="n">
        <x:v>2</x:v>
      </x:c>
      <x:c r="K4" s="17"/>
      <x:c r="L4" s="12" t="n">
        <x:v>35</x:v>
      </x:c>
    </x:row>
    <x:row r="5">
      <x:c r="A5" t="n">
        <x:v>3</x:v>
      </x:c>
      <x:c r="B5" s="17" t="n">
        <x:v>4</x:v>
      </x:c>
      <x:c r="C5" s="17" t="n">
        <x:v>2</x:v>
      </x:c>
      <x:c r="D5" s="17" t="n">
        <x:v>4</x:v>
      </x:c>
      <x:c r="E5" s="17" t="n">
        <x:v>2</x:v>
      </x:c>
      <x:c r="F5" s="17" t="n">
        <x:v>4</x:v>
      </x:c>
      <x:c r="G5" s="17" t="n">
        <x:v>2</x:v>
      </x:c>
      <x:c r="H5" s="17" t="n">
        <x:v>4</x:v>
      </x:c>
      <x:c r="I5" s="17" t="n">
        <x:v>2</x:v>
      </x:c>
      <x:c r="J5" s="17" t="n">
        <x:v>4</x:v>
      </x:c>
      <x:c r="K5" s="17"/>
      <x:c r="L5" s="12" t="n">
        <x:v>57.5</x:v>
      </x:c>
    </x:row>
    <x:row r="6">
      <x:c r="A6" t="n">
        <x:v>4</x:v>
      </x:c>
      <x:c r="B6" s="17" t="n">
        <x:v>4</x:v>
      </x:c>
      <x:c r="C6" s="17" t="n">
        <x:v>2</x:v>
      </x:c>
      <x:c r="D6" s="17" t="n">
        <x:v>4</x:v>
      </x:c>
      <x:c r="E6" s="17" t="n">
        <x:v>2</x:v>
      </x:c>
      <x:c r="F6" s="17" t="n">
        <x:v>4</x:v>
      </x:c>
      <x:c r="G6" s="17" t="n">
        <x:v>2</x:v>
      </x:c>
      <x:c r="H6" s="17" t="n">
        <x:v>4</x:v>
      </x:c>
      <x:c r="I6" s="17" t="n">
        <x:v>2</x:v>
      </x:c>
      <x:c r="J6" s="17" t="n">
        <x:v>4</x:v>
      </x:c>
      <x:c r="K6" s="17"/>
      <x:c r="L6" s="12" t="n">
        <x:v>57.5</x:v>
      </x:c>
    </x:row>
    <x:row r="7">
      <x:c r="A7" t="n">
        <x:v>5</x:v>
      </x:c>
      <x:c r="B7" s="17" t="n">
        <x:v>3</x:v>
      </x:c>
      <x:c r="C7" s="17" t="n">
        <x:v>3</x:v>
      </x:c>
      <x:c r="D7" s="17" t="n">
        <x:v>3</x:v>
      </x:c>
      <x:c r="E7" s="17" t="n">
        <x:v>3</x:v>
      </x:c>
      <x:c r="F7" s="17" t="n">
        <x:v>3</x:v>
      </x:c>
      <x:c r="G7" s="17" t="n">
        <x:v>3</x:v>
      </x:c>
      <x:c r="H7" s="17" t="n">
        <x:v>3</x:v>
      </x:c>
      <x:c r="I7" s="17" t="n">
        <x:v>3</x:v>
      </x:c>
      <x:c r="J7" s="17" t="n">
        <x:v>3</x:v>
      </x:c>
      <x:c r="K7" s="17"/>
      <x:c r="L7" s="12" t="n">
        <x:v>52.5</x:v>
      </x:c>
    </x:row>
    <x:row r="8">
      <x:c r="A8" t="n">
        <x:v>6</x:v>
      </x:c>
      <x:c r="B8" s="17" t="n">
        <x:v>2</x:v>
      </x:c>
      <x:c r="C8" s="17" t="n">
        <x:v>4</x:v>
      </x:c>
      <x:c r="D8" s="17" t="n">
        <x:v>2</x:v>
      </x:c>
      <x:c r="E8" s="17" t="n">
        <x:v>4</x:v>
      </x:c>
      <x:c r="F8" s="17" t="n">
        <x:v>2</x:v>
      </x:c>
      <x:c r="G8" s="17" t="n">
        <x:v>4</x:v>
      </x:c>
      <x:c r="H8" s="17" t="n">
        <x:v>2</x:v>
      </x:c>
      <x:c r="I8" s="17" t="n">
        <x:v>4</x:v>
      </x:c>
      <x:c r="J8" s="17" t="n">
        <x:v>2</x:v>
      </x:c>
      <x:c r="K8" s="17"/>
      <x:c r="L8" s="12" t="n">
        <x:v>45</x:v>
      </x:c>
    </x:row>
    <x:row r="9">
      <x:c r="A9" t="n">
        <x:v>7</x:v>
      </x:c>
      <x:c r="B9" s="17" t="n">
        <x:v>3</x:v>
      </x:c>
      <x:c r="C9" s="17" t="n">
        <x:v>3</x:v>
      </x:c>
      <x:c r="D9" s="17" t="n">
        <x:v>3</x:v>
      </x:c>
      <x:c r="E9" s="17" t="n">
        <x:v>3</x:v>
      </x:c>
      <x:c r="F9" s="17" t="n">
        <x:v>3</x:v>
      </x:c>
      <x:c r="G9" s="17" t="n">
        <x:v>3</x:v>
      </x:c>
      <x:c r="H9" s="17" t="n">
        <x:v>3</x:v>
      </x:c>
      <x:c r="I9" s="17" t="n">
        <x:v>3</x:v>
      </x:c>
      <x:c r="J9" s="17" t="n">
        <x:v>3</x:v>
      </x:c>
      <x:c r="K9" s="17"/>
      <x:c r="L9" s="12" t="n">
        <x:v>50</x:v>
      </x:c>
    </x:row>
    <x:row r="10">
      <x:c r="A10" t="n">
        <x:v>8</x:v>
      </x:c>
      <x:c r="B10" s="17" t="n">
        <x:v>4</x:v>
      </x:c>
      <x:c r="C10" s="17" t="n">
        <x:v>2</x:v>
      </x:c>
      <x:c r="D10" s="17" t="n">
        <x:v>4</x:v>
      </x:c>
      <x:c r="E10" s="17" t="n">
        <x:v>2</x:v>
      </x:c>
      <x:c r="F10" s="17" t="n">
        <x:v>4</x:v>
      </x:c>
      <x:c r="G10" s="17" t="n">
        <x:v>2</x:v>
      </x:c>
      <x:c r="H10" s="17" t="n">
        <x:v>4</x:v>
      </x:c>
      <x:c r="I10" s="17" t="n">
        <x:v>2</x:v>
      </x:c>
      <x:c r="J10" s="17" t="n">
        <x:v>4</x:v>
      </x:c>
      <x:c r="K10" s="17"/>
      <x:c r="L10" s="12" t="n">
        <x:v>60</x:v>
      </x:c>
    </x:row>
    <x:row r="11">
      <x:c r="A11" t="n">
        <x:v>9</x:v>
      </x:c>
      <x:c r="B11" s="17" t="n">
        <x:v>2</x:v>
      </x:c>
      <x:c r="C11" s="17" t="n">
        <x:v>4</x:v>
      </x:c>
      <x:c r="D11" s="17" t="n">
        <x:v>2</x:v>
      </x:c>
      <x:c r="E11" s="17" t="n">
        <x:v>4</x:v>
      </x:c>
      <x:c r="F11" s="17" t="n">
        <x:v>2</x:v>
      </x:c>
      <x:c r="G11" s="17" t="n">
        <x:v>4</x:v>
      </x:c>
      <x:c r="H11" s="17" t="n">
        <x:v>2</x:v>
      </x:c>
      <x:c r="I11" s="17" t="n">
        <x:v>4</x:v>
      </x:c>
      <x:c r="J11" s="17" t="n">
        <x:v>2</x:v>
      </x:c>
      <x:c r="K11" s="17"/>
      <x:c r="L11" s="12" t="n">
        <x:v>42.5</x:v>
      </x:c>
    </x:row>
    <x:row r="12">
      <x:c r="A12" t="n">
        <x:v>10</x:v>
      </x:c>
      <x:c r="B12" s="17" t="n">
        <x:v>2</x:v>
      </x:c>
      <x:c r="C12" s="17" t="n">
        <x:v>4</x:v>
      </x:c>
      <x:c r="D12" s="17" t="n">
        <x:v>2</x:v>
      </x:c>
      <x:c r="E12" s="17" t="n">
        <x:v>4</x:v>
      </x:c>
      <x:c r="F12" s="17" t="n">
        <x:v>2</x:v>
      </x:c>
      <x:c r="G12" s="17" t="n">
        <x:v>4</x:v>
      </x:c>
      <x:c r="H12" s="17" t="n">
        <x:v>2</x:v>
      </x:c>
      <x:c r="I12" s="17" t="n">
        <x:v>4</x:v>
      </x:c>
      <x:c r="J12" s="17" t="n">
        <x:v>2</x:v>
      </x:c>
      <x:c r="K12" s="17"/>
      <x:c r="L12" s="12" t="n">
        <x:v>40</x:v>
      </x:c>
    </x:row>
    <x:row r="13">
      <x:c r="A13" t="n">
        <x:v>11</x:v>
      </x:c>
      <x:c r="B13" s="17" t="n">
        <x:v>4</x:v>
      </x:c>
      <x:c r="C13" s="17" t="n">
        <x:v>2</x:v>
      </x:c>
      <x:c r="D13" s="17" t="n">
        <x:v>4</x:v>
      </x:c>
      <x:c r="E13" s="17" t="n">
        <x:v>2</x:v>
      </x:c>
      <x:c r="F13" s="17" t="n">
        <x:v>4</x:v>
      </x:c>
      <x:c r="G13" s="17" t="n">
        <x:v>2</x:v>
      </x:c>
      <x:c r="H13" s="17" t="n">
        <x:v>4</x:v>
      </x:c>
      <x:c r="I13" s="17" t="n">
        <x:v>2</x:v>
      </x:c>
      <x:c r="J13" s="17" t="n">
        <x:v>4</x:v>
      </x:c>
      <x:c r="K13" s="17"/>
      <x:c r="L13" s="12" t="n">
        <x:v>55</x:v>
      </x:c>
    </x:row>
    <x:row r="14">
      <x:c r="A14" t="n">
        <x:v>12</x:v>
      </x:c>
      <x:c r="B14" s="17" t="n">
        <x:v>4</x:v>
      </x:c>
      <x:c r="C14" s="17" t="n">
        <x:v>2</x:v>
      </x:c>
      <x:c r="D14" s="17" t="n">
        <x:v>4</x:v>
      </x:c>
      <x:c r="E14" s="17" t="n">
        <x:v>2</x:v>
      </x:c>
      <x:c r="F14" s="17" t="n">
        <x:v>4</x:v>
      </x:c>
      <x:c r="G14" s="17" t="n">
        <x:v>2</x:v>
      </x:c>
      <x:c r="H14" s="17" t="n">
        <x:v>4</x:v>
      </x:c>
      <x:c r="I14" s="17" t="n">
        <x:v>2</x:v>
      </x:c>
      <x:c r="J14" s="17" t="n">
        <x:v>4</x:v>
      </x:c>
      <x:c r="K14" s="17"/>
      <x:c r="L14" s="12" t="n">
        <x:v>60</x:v>
      </x:c>
    </x:row>
    <x:row r="15">
      <x:c r="A15" t="n">
        <x:v>13</x:v>
      </x:c>
      <x:c r="B15" s="17" t="n">
        <x:v>2</x:v>
      </x:c>
      <x:c r="C15" s="17" t="n">
        <x:v>4</x:v>
      </x:c>
      <x:c r="D15" s="17" t="n">
        <x:v>2</x:v>
      </x:c>
      <x:c r="E15" s="17" t="n">
        <x:v>4</x:v>
      </x:c>
      <x:c r="F15" s="17" t="n">
        <x:v>2</x:v>
      </x:c>
      <x:c r="G15" s="17" t="n">
        <x:v>4</x:v>
      </x:c>
      <x:c r="H15" s="17" t="n">
        <x:v>2</x:v>
      </x:c>
      <x:c r="I15" s="17" t="n">
        <x:v>4</x:v>
      </x:c>
      <x:c r="J15" s="17" t="n">
        <x:v>2</x:v>
      </x:c>
      <x:c r="K15" s="17"/>
      <x:c r="L15" s="12" t="n">
        <x:v>45</x:v>
      </x:c>
    </x:row>
    <x:row r="16">
      <x:c r="A16" t="n">
        <x:v>14</x:v>
      </x:c>
      <x:c r="B16" s="17" t="n">
        <x:v>2</x:v>
      </x:c>
      <x:c r="C16" s="17" t="n">
        <x:v>4</x:v>
      </x:c>
      <x:c r="D16" s="17" t="n">
        <x:v>2</x:v>
      </x:c>
      <x:c r="E16" s="17" t="n">
        <x:v>4</x:v>
      </x:c>
      <x:c r="F16" s="17" t="n">
        <x:v>2</x:v>
      </x:c>
      <x:c r="G16" s="17" t="n">
        <x:v>4</x:v>
      </x:c>
      <x:c r="H16" s="17" t="n">
        <x:v>2</x:v>
      </x:c>
      <x:c r="I16" s="17" t="n">
        <x:v>4</x:v>
      </x:c>
      <x:c r="J16" s="17" t="n">
        <x:v>2</x:v>
      </x:c>
      <x:c r="K16" s="17"/>
      <x:c r="L16" s="12" t="n">
        <x:v>40</x:v>
      </x:c>
    </x:row>
    <x:row r="17">
      <x:c r="A17" t="n">
        <x:v>15</x:v>
      </x:c>
      <x:c r="B17" s="17" t="n">
        <x:v>4</x:v>
      </x:c>
      <x:c r="C17" s="17" t="n">
        <x:v>2</x:v>
      </x:c>
      <x:c r="D17" s="17" t="n">
        <x:v>4</x:v>
      </x:c>
      <x:c r="E17" s="17" t="n">
        <x:v>2</x:v>
      </x:c>
      <x:c r="F17" s="17" t="n">
        <x:v>4</x:v>
      </x:c>
      <x:c r="G17" s="17" t="n">
        <x:v>2</x:v>
      </x:c>
      <x:c r="H17" s="17" t="n">
        <x:v>4</x:v>
      </x:c>
      <x:c r="I17" s="17" t="n">
        <x:v>2</x:v>
      </x:c>
      <x:c r="J17" s="17" t="n">
        <x:v>4</x:v>
      </x:c>
      <x:c r="K17" s="17"/>
      <x:c r="L17" s="12" t="n">
        <x:v>55</x:v>
      </x:c>
    </x:row>
    <x:row r="18">
      <x:c r="A18" t="n">
        <x:v>16</x:v>
      </x:c>
      <x:c r="B18" s="17" t="n">
        <x:v>3</x:v>
      </x:c>
      <x:c r="C18" s="17" t="n">
        <x:v>3</x:v>
      </x:c>
      <x:c r="D18" s="17" t="n">
        <x:v>3</x:v>
      </x:c>
      <x:c r="E18" s="17" t="n">
        <x:v>3</x:v>
      </x:c>
      <x:c r="F18" s="17" t="n">
        <x:v>3</x:v>
      </x:c>
      <x:c r="G18" s="17" t="n">
        <x:v>3</x:v>
      </x:c>
      <x:c r="H18" s="17" t="n">
        <x:v>3</x:v>
      </x:c>
      <x:c r="I18" s="17" t="n">
        <x:v>3</x:v>
      </x:c>
      <x:c r="J18" s="17" t="n">
        <x:v>3</x:v>
      </x:c>
      <x:c r="K18" s="17"/>
      <x:c r="L18" s="12" t="n">
        <x:v>47.5</x:v>
      </x:c>
    </x:row>
    <x:row r="19">
      <x:c r="A19" t="n">
        <x:v>17</x:v>
      </x:c>
      <x:c r="B19" s="17" t="n">
        <x:v>4</x:v>
      </x:c>
      <x:c r="C19" s="17" t="n">
        <x:v>2</x:v>
      </x:c>
      <x:c r="D19" s="17" t="n">
        <x:v>4</x:v>
      </x:c>
      <x:c r="E19" s="17" t="n">
        <x:v>2</x:v>
      </x:c>
      <x:c r="F19" s="17" t="n">
        <x:v>4</x:v>
      </x:c>
      <x:c r="G19" s="17" t="n">
        <x:v>2</x:v>
      </x:c>
      <x:c r="H19" s="17" t="n">
        <x:v>4</x:v>
      </x:c>
      <x:c r="I19" s="17" t="n">
        <x:v>2</x:v>
      </x:c>
      <x:c r="J19" s="17" t="n">
        <x:v>4</x:v>
      </x:c>
      <x:c r="K19" s="17"/>
      <x:c r="L19" s="12" t="n">
        <x:v>55</x:v>
      </x:c>
    </x:row>
    <x:row r="20">
      <x:c r="A20" t="n">
        <x:v>18</x:v>
      </x:c>
      <x:c r="B20" s="17" t="n">
        <x:v>3</x:v>
      </x:c>
      <x:c r="C20" s="17" t="n">
        <x:v>3</x:v>
      </x:c>
      <x:c r="D20" s="17" t="n">
        <x:v>3</x:v>
      </x:c>
      <x:c r="E20" s="17" t="n">
        <x:v>3</x:v>
      </x:c>
      <x:c r="F20" s="17" t="n">
        <x:v>3</x:v>
      </x:c>
      <x:c r="G20" s="17" t="n">
        <x:v>3</x:v>
      </x:c>
      <x:c r="H20" s="17" t="n">
        <x:v>3</x:v>
      </x:c>
      <x:c r="I20" s="17" t="n">
        <x:v>3</x:v>
      </x:c>
      <x:c r="J20" s="17" t="n">
        <x:v>3</x:v>
      </x:c>
      <x:c r="K20" s="17"/>
      <x:c r="L20" s="12" t="n">
        <x:v>47.5</x:v>
      </x:c>
    </x:row>
    <x:row r="21">
      <x:c r="A21" t="n">
        <x:v>19</x:v>
      </x:c>
      <x:c r="B21" s="17" t="n">
        <x:v>2</x:v>
      </x:c>
      <x:c r="C21" s="17" t="n">
        <x:v>4</x:v>
      </x:c>
      <x:c r="D21" s="17" t="n">
        <x:v>2</x:v>
      </x:c>
      <x:c r="E21" s="17" t="n">
        <x:v>4</x:v>
      </x:c>
      <x:c r="F21" s="17" t="n">
        <x:v>2</x:v>
      </x:c>
      <x:c r="G21" s="17" t="n">
        <x:v>4</x:v>
      </x:c>
      <x:c r="H21" s="17" t="n">
        <x:v>2</x:v>
      </x:c>
      <x:c r="I21" s="17" t="n">
        <x:v>4</x:v>
      </x:c>
      <x:c r="J21" s="17" t="n">
        <x:v>2</x:v>
      </x:c>
      <x:c r="K21" s="17"/>
      <x:c r="L21" s="12" t="n">
        <x:v>42.5</x:v>
      </x:c>
    </x:row>
    <x:row r="22">
      <x:c r="A22" t="n">
        <x:v>20</x:v>
      </x:c>
      <x:c r="B22" s="17" t="n">
        <x:v>4</x:v>
      </x:c>
      <x:c r="C22" s="17" t="n">
        <x:v>2</x:v>
      </x:c>
      <x:c r="D22" s="17" t="n">
        <x:v>4</x:v>
      </x:c>
      <x:c r="E22" s="17" t="n">
        <x:v>2</x:v>
      </x:c>
      <x:c r="F22" s="17" t="n">
        <x:v>4</x:v>
      </x:c>
      <x:c r="G22" s="17" t="n">
        <x:v>2</x:v>
      </x:c>
      <x:c r="H22" s="17" t="n">
        <x:v>4</x:v>
      </x:c>
      <x:c r="I22" s="17" t="n">
        <x:v>2</x:v>
      </x:c>
      <x:c r="J22" s="17" t="n">
        <x:v>4</x:v>
      </x:c>
      <x:c r="K22" s="17"/>
      <x:c r="L22" s="12" t="n">
        <x:v>60</x:v>
      </x:c>
    </x:row>
    <x:row r="23">
      <x:c r="A23" t="n">
        <x:v>21</x:v>
      </x:c>
      <x:c r="B23" s="17" t="n">
        <x:v>3</x:v>
      </x:c>
      <x:c r="C23" s="17" t="n">
        <x:v>3</x:v>
      </x:c>
      <x:c r="D23" s="17" t="n">
        <x:v>3</x:v>
      </x:c>
      <x:c r="E23" s="17" t="n">
        <x:v>3</x:v>
      </x:c>
      <x:c r="F23" s="17" t="n">
        <x:v>3</x:v>
      </x:c>
      <x:c r="G23" s="17" t="n">
        <x:v>3</x:v>
      </x:c>
      <x:c r="H23" s="17" t="n">
        <x:v>3</x:v>
      </x:c>
      <x:c r="I23" s="17" t="n">
        <x:v>3</x:v>
      </x:c>
      <x:c r="J23" s="17" t="n">
        <x:v>3</x:v>
      </x:c>
      <x:c r="K23" s="17"/>
      <x:c r="L23" s="12" t="n">
        <x:v>50</x:v>
      </x:c>
    </x:row>
    <x:row r="24">
      <x:c r="A24" t="n">
        <x:v>22</x:v>
      </x:c>
      <x:c r="B24" s="17" t="n">
        <x:v>2</x:v>
      </x:c>
      <x:c r="C24" s="17" t="n">
        <x:v>4</x:v>
      </x:c>
      <x:c r="D24" s="17" t="n">
        <x:v>2</x:v>
      </x:c>
      <x:c r="E24" s="17" t="n">
        <x:v>4</x:v>
      </x:c>
      <x:c r="F24" s="17" t="n">
        <x:v>2</x:v>
      </x:c>
      <x:c r="G24" s="17" t="n">
        <x:v>4</x:v>
      </x:c>
      <x:c r="H24" s="17" t="n">
        <x:v>2</x:v>
      </x:c>
      <x:c r="I24" s="17" t="n">
        <x:v>4</x:v>
      </x:c>
      <x:c r="J24" s="17" t="n">
        <x:v>2</x:v>
      </x:c>
      <x:c r="K24" s="17"/>
      <x:c r="L24" s="12" t="n">
        <x:v>42.5</x:v>
      </x:c>
    </x:row>
    <x:row r="25">
      <x:c r="A25" t="n">
        <x:v>23</x:v>
      </x:c>
      <x:c r="B25" s="17" t="n">
        <x:v>3</x:v>
      </x:c>
      <x:c r="C25" s="17" t="n">
        <x:v>3</x:v>
      </x:c>
      <x:c r="D25" s="17" t="n">
        <x:v>3</x:v>
      </x:c>
      <x:c r="E25" s="17" t="n">
        <x:v>3</x:v>
      </x:c>
      <x:c r="F25" s="17" t="n">
        <x:v>3</x:v>
      </x:c>
      <x:c r="G25" s="17" t="n">
        <x:v>3</x:v>
      </x:c>
      <x:c r="H25" s="17" t="n">
        <x:v>3</x:v>
      </x:c>
      <x:c r="I25" s="17" t="n">
        <x:v>3</x:v>
      </x:c>
      <x:c r="J25" s="17" t="n">
        <x:v>3</x:v>
      </x:c>
      <x:c r="K25" s="17"/>
      <x:c r="L25" s="12" t="n">
        <x:v>50</x:v>
      </x:c>
    </x:row>
    <x:row r="26">
      <x:c r="A26" t="n">
        <x:v>24</x:v>
      </x:c>
      <x:c r="B26" s="17" t="n">
        <x:v>3</x:v>
      </x:c>
      <x:c r="C26" s="17" t="n">
        <x:v>3</x:v>
      </x:c>
      <x:c r="D26" s="17" t="n">
        <x:v>3</x:v>
      </x:c>
      <x:c r="E26" s="17" t="n">
        <x:v>3</x:v>
      </x:c>
      <x:c r="F26" s="17" t="n">
        <x:v>3</x:v>
      </x:c>
      <x:c r="G26" s="17" t="n">
        <x:v>3</x:v>
      </x:c>
      <x:c r="H26" s="17" t="n">
        <x:v>3</x:v>
      </x:c>
      <x:c r="I26" s="17" t="n">
        <x:v>3</x:v>
      </x:c>
      <x:c r="J26" s="17" t="n">
        <x:v>3</x:v>
      </x:c>
      <x:c r="K26" s="17"/>
      <x:c r="L26" s="12" t="n">
        <x:v>52.5</x:v>
      </x:c>
    </x:row>
    <x:row r="27">
      <x:c r="A27" t="n">
        <x:v>25</x:v>
      </x:c>
      <x:c r="B27" s="17" t="n">
        <x:v>2</x:v>
      </x:c>
      <x:c r="C27" s="17" t="n">
        <x:v>4</x:v>
      </x:c>
      <x:c r="D27" s="17" t="n">
        <x:v>2</x:v>
      </x:c>
      <x:c r="E27" s="17" t="n">
        <x:v>4</x:v>
      </x:c>
      <x:c r="F27" s="17" t="n">
        <x:v>2</x:v>
      </x:c>
      <x:c r="G27" s="17" t="n">
        <x:v>4</x:v>
      </x:c>
      <x:c r="H27" s="17" t="n">
        <x:v>2</x:v>
      </x:c>
      <x:c r="I27" s="17" t="n">
        <x:v>4</x:v>
      </x:c>
      <x:c r="J27" s="17" t="n">
        <x:v>2</x:v>
      </x:c>
      <x:c r="K27" s="17"/>
      <x:c r="L27" s="12" t="n">
        <x:v>35</x:v>
      </x:c>
    </x:row>
    <x:row r="28">
      <x:c r="A28" t="n">
        <x:v>26</x:v>
      </x:c>
      <x:c r="B28" s="17" t="n">
        <x:v>2</x:v>
      </x:c>
      <x:c r="C28" s="17" t="n">
        <x:v>4</x:v>
      </x:c>
      <x:c r="D28" s="17" t="n">
        <x:v>2</x:v>
      </x:c>
      <x:c r="E28" s="17" t="n">
        <x:v>4</x:v>
      </x:c>
      <x:c r="F28" s="17" t="n">
        <x:v>2</x:v>
      </x:c>
      <x:c r="G28" s="17" t="n">
        <x:v>4</x:v>
      </x:c>
      <x:c r="H28" s="17" t="n">
        <x:v>2</x:v>
      </x:c>
      <x:c r="I28" s="17" t="n">
        <x:v>4</x:v>
      </x:c>
      <x:c r="J28" s="17" t="n">
        <x:v>2</x:v>
      </x:c>
      <x:c r="K28" s="17"/>
      <x:c r="L28" s="12" t="n">
        <x:v>35</x:v>
      </x:c>
    </x:row>
    <x:row r="29">
      <x:c r="A29" t="n">
        <x:v>27</x:v>
      </x:c>
      <x:c r="B29" s="17" t="n">
        <x:v>3</x:v>
      </x:c>
      <x:c r="C29" s="17" t="n">
        <x:v>3</x:v>
      </x:c>
      <x:c r="D29" s="17" t="n">
        <x:v>3</x:v>
      </x:c>
      <x:c r="E29" s="17" t="n">
        <x:v>3</x:v>
      </x:c>
      <x:c r="F29" s="17" t="n">
        <x:v>3</x:v>
      </x:c>
      <x:c r="G29" s="17" t="n">
        <x:v>3</x:v>
      </x:c>
      <x:c r="H29" s="17" t="n">
        <x:v>3</x:v>
      </x:c>
      <x:c r="I29" s="17" t="n">
        <x:v>3</x:v>
      </x:c>
      <x:c r="J29" s="17" t="n">
        <x:v>3</x:v>
      </x:c>
      <x:c r="K29" s="17"/>
      <x:c r="L29" s="12" t="n">
        <x:v>47.5</x:v>
      </x:c>
    </x:row>
    <x:row r="30">
      <x:c r="A30" t="n">
        <x:v>28</x:v>
      </x:c>
      <x:c r="B30" s="17" t="n">
        <x:v>2</x:v>
      </x:c>
      <x:c r="C30" s="17" t="n">
        <x:v>4</x:v>
      </x:c>
      <x:c r="D30" s="17" t="n">
        <x:v>2</x:v>
      </x:c>
      <x:c r="E30" s="17" t="n">
        <x:v>4</x:v>
      </x:c>
      <x:c r="F30" s="17" t="n">
        <x:v>2</x:v>
      </x:c>
      <x:c r="G30" s="17" t="n">
        <x:v>4</x:v>
      </x:c>
      <x:c r="H30" s="17" t="n">
        <x:v>2</x:v>
      </x:c>
      <x:c r="I30" s="17" t="n">
        <x:v>4</x:v>
      </x:c>
      <x:c r="J30" s="17" t="n">
        <x:v>2</x:v>
      </x:c>
      <x:c r="K30" s="17"/>
      <x:c r="L30" s="12" t="n">
        <x:v>45</x:v>
      </x:c>
    </x:row>
    <x:row r="31">
      <x:c r="A31" t="n">
        <x:v>29</x:v>
      </x:c>
      <x:c r="B31" s="17" t="n">
        <x:v>4</x:v>
      </x:c>
      <x:c r="C31" s="17" t="n">
        <x:v>2</x:v>
      </x:c>
      <x:c r="D31" s="17" t="n">
        <x:v>4</x:v>
      </x:c>
      <x:c r="E31" s="17" t="n">
        <x:v>2</x:v>
      </x:c>
      <x:c r="F31" s="17" t="n">
        <x:v>4</x:v>
      </x:c>
      <x:c r="G31" s="17" t="n">
        <x:v>2</x:v>
      </x:c>
      <x:c r="H31" s="17" t="n">
        <x:v>4</x:v>
      </x:c>
      <x:c r="I31" s="17" t="n">
        <x:v>2</x:v>
      </x:c>
      <x:c r="J31" s="17" t="n">
        <x:v>4</x:v>
      </x:c>
      <x:c r="K31" s="17"/>
      <x:c r="L31" s="12" t="n">
        <x:v>57.5</x:v>
      </x:c>
    </x:row>
    <x:row r="32">
      <x:c r="A32" t="n">
        <x:v>30</x:v>
      </x:c>
      <x:c r="B32" s="17" t="n">
        <x:v>3</x:v>
      </x:c>
      <x:c r="C32" s="17" t="n">
        <x:v>3</x:v>
      </x:c>
      <x:c r="D32" s="17" t="n">
        <x:v>3</x:v>
      </x:c>
      <x:c r="E32" s="17" t="n">
        <x:v>3</x:v>
      </x:c>
      <x:c r="F32" s="17" t="n">
        <x:v>3</x:v>
      </x:c>
      <x:c r="G32" s="17" t="n">
        <x:v>3</x:v>
      </x:c>
      <x:c r="H32" s="17" t="n">
        <x:v>3</x:v>
      </x:c>
      <x:c r="I32" s="17" t="n">
        <x:v>3</x:v>
      </x:c>
      <x:c r="J32" s="17" t="n">
        <x:v>3</x:v>
      </x:c>
      <x:c r="K32" s="17"/>
      <x:c r="L32" s="12" t="n">
        <x:v>52.5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e34928d411b41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30.280000686645508" hidden="0" customWidth="1"/>
    <x:col min="3" max="3" width="32.970001220703125" hidden="0" customWidth="1"/>
    <x:col min="4" max="4" width="30.280000686645508" hidden="0" customWidth="1"/>
    <x:col min="5" max="5" width="31.6299991607666" hidden="0" customWidth="1"/>
    <x:col min="6" max="6" width="32.970001220703125" hidden="0" customWidth="1"/>
    <x:col min="7" max="7" width="30.280000686645508" hidden="0" customWidth="1"/>
    <x:col min="8" max="8" width="30.280000686645508" hidden="0" customWidth="1"/>
  </x:cols>
  <x:sheetData>
    <x:row r="1" ht="31.5" customHeight="1">
      <x:c r="A1" s="3" t="str">
        <x:v>Qualitative Insights</x:v>
      </x:c>
      <x:c r="B1" s="3" t="str">
        <x:v>Qualitative Insights</x:v>
      </x:c>
      <x:c r="C1" s="3" t="str">
        <x:v>Qualitative Insights</x:v>
      </x:c>
      <x:c r="D1" s="3" t="str">
        <x:v>Qualitative Insights</x:v>
      </x:c>
      <x:c r="E1" s="3" t="str">
        <x:v>Qualitative Insights</x:v>
      </x:c>
      <x:c r="F1" s="3" t="str">
        <x:v>Qualitative Insights</x:v>
      </x:c>
      <x:c r="G1" s="3" t="str">
        <x:v>Qualitative Insights</x:v>
      </x:c>
      <x:c r="H1" s="3" t="str">
        <x:v>Qualitative Insights</x:v>
      </x:c>
    </x:row>
    <x:row r="2">
      <x:c r="A2" s="11" t="str">
        <x:v>Participant</x:v>
      </x:c>
      <x:c r="B2" s="11" t="str">
        <x:v>Most liked feature</x:v>
      </x:c>
      <x:c r="C2" s="11" t="str">
        <x:v>Suggested improvements</x:v>
      </x:c>
      <x:c r="D2" s="11" t="str">
        <x:v>Unnecessary feature</x:v>
      </x:c>
      <x:c r="E2" s="11" t="str">
        <x:v>Most frustrating part</x:v>
      </x:c>
      <x:c r="F2" s="11" t="str">
        <x:v>Design change suggestion</x:v>
      </x:c>
      <x:c r="G2" s="11" t="str">
        <x:v>Text readability</x:v>
      </x:c>
      <x:c r="H2" s="11" t="str">
        <x:v>Overall remarks</x:v>
      </x:c>
    </x:row>
    <x:row r="3">
      <x:c r="A3" t="n">
        <x:v>1</x:v>
      </x:c>
      <x:c r="B3" s="16" t="str">
        <x:v>Login process was straightforward.</x:v>
      </x:c>
      <x:c r="C3" s="16" t="str">
        <x:v>Use larger fonts and buttons.</x:v>
      </x:c>
      <x:c r="D3" s="16" t="str">
        <x:v>Some redundant navigation tabs.</x:v>
      </x:c>
      <x:c r="E3" s="16" t="str">
        <x:v>Text is too small on mobile devices.</x:v>
      </x:c>
      <x:c r="F3" s="16" t="str">
        <x:v>Improve mobile responsiveness.</x:v>
      </x:c>
      <x:c r="G3" s="16" t="str">
        <x:v>Too small on mobile devices.</x:v>
      </x:c>
      <x:c r="H3" s="16" t="str">
        <x:v>Participant SUS score: 40/100</x:v>
      </x:c>
    </x:row>
    <x:row r="4">
      <x:c r="A4" t="n">
        <x:v>2</x:v>
      </x:c>
      <x:c r="B4" s="16" t="str">
        <x:v>The system provides useful academic information.</x:v>
      </x:c>
      <x:c r="C4" s="16" t="str">
        <x:v>Use larger fonts and buttons.</x:v>
      </x:c>
      <x:c r="D4" s="16" t="str">
        <x:v>Some redundant navigation tabs.</x:v>
      </x:c>
      <x:c r="E4" s="16" t="str">
        <x:v>Text is too small on mobile devices.</x:v>
      </x:c>
      <x:c r="F4" s="16" t="str">
        <x:v>Add clearer labels and icons.</x:v>
      </x:c>
      <x:c r="G4" s="16" t="str">
        <x:v>Too small on mobile devices.</x:v>
      </x:c>
      <x:c r="H4" s="16" t="str">
        <x:v>Participant SUS score: 35/100</x:v>
      </x:c>
    </x:row>
    <x:row r="5">
      <x:c r="A5" t="n">
        <x:v>3</x:v>
      </x:c>
      <x:c r="B5" s="16" t="str">
        <x:v>Account information is accessible.</x:v>
      </x:c>
      <x:c r="C5" s="16" t="str">
        <x:v>Add clearer labels and icons.</x:v>
      </x:c>
      <x:c r="D5" s="16" t="str">
        <x:v>Some redundant navigation tabs.</x:v>
      </x:c>
      <x:c r="E5" s="16" t="str">
        <x:v>Interface looks outdated.</x:v>
      </x:c>
      <x:c r="F5" s="16" t="str">
        <x:v>Use larger fonts and buttons.</x:v>
      </x:c>
      <x:c r="G5" s="16" t="str">
        <x:v>Readable enough.</x:v>
      </x:c>
      <x:c r="H5" s="16" t="str">
        <x:v>Participant SUS score: 57.5/100</x:v>
      </x:c>
    </x:row>
    <x:row r="6">
      <x:c r="A6" t="n">
        <x:v>4</x:v>
      </x:c>
      <x:c r="B6" s="16" t="str">
        <x:v>The system provides useful academic information.</x:v>
      </x:c>
      <x:c r="C6" s="16" t="str">
        <x:v>Simplify navigation menus.</x:v>
      </x:c>
      <x:c r="D6" s="16" t="str">
        <x:v>Some redundant navigation tabs.</x:v>
      </x:c>
      <x:c r="E6" s="16" t="str">
        <x:v>Too much scrolling is required.</x:v>
      </x:c>
      <x:c r="F6" s="16" t="str">
        <x:v>Add clearer labels and icons.</x:v>
      </x:c>
      <x:c r="G6" s="16" t="str">
        <x:v>Readable enough.</x:v>
      </x:c>
      <x:c r="H6" s="16" t="str">
        <x:v>Participant SUS score: 57.5/100</x:v>
      </x:c>
    </x:row>
    <x:row r="7">
      <x:c r="A7" t="n">
        <x:v>5</x:v>
      </x:c>
      <x:c r="B7" s="16" t="str">
        <x:v>Account information is accessible.</x:v>
      </x:c>
      <x:c r="C7" s="16" t="str">
        <x:v>Improve mobile responsiveness.</x:v>
      </x:c>
      <x:c r="D7" s="16" t="str">
        <x:v>Some redundant navigation tabs.</x:v>
      </x:c>
      <x:c r="E7" s="16" t="str">
        <x:v>Too much scrolling is required.</x:v>
      </x:c>
      <x:c r="F7" s="16" t="str">
        <x:v>Add clearer labels and icons.</x:v>
      </x:c>
      <x:c r="G7" s="16" t="str">
        <x:v>Readable enough.</x:v>
      </x:c>
      <x:c r="H7" s="16" t="str">
        <x:v>Participant SUS score: 52.5/100</x:v>
      </x:c>
    </x:row>
    <x:row r="8">
      <x:c r="A8" t="n">
        <x:v>6</x:v>
      </x:c>
      <x:c r="B8" s="16" t="str">
        <x:v>Account information is accessible.</x:v>
      </x:c>
      <x:c r="C8" s="16" t="str">
        <x:v>Use larger fonts and buttons.</x:v>
      </x:c>
      <x:c r="D8" s="16" t="str">
        <x:v>Some redundant navigation tabs.</x:v>
      </x:c>
      <x:c r="E8" s="16" t="str">
        <x:v>Navigation tabs are confusing.</x:v>
      </x:c>
      <x:c r="F8" s="16" t="str">
        <x:v>Simplify navigation menus.</x:v>
      </x:c>
      <x:c r="G8" s="16" t="str">
        <x:v>Readable enough.</x:v>
      </x:c>
      <x:c r="H8" s="16" t="str">
        <x:v>Participant SUS score: 45/100</x:v>
      </x:c>
    </x:row>
    <x:row r="9">
      <x:c r="A9" t="n">
        <x:v>7</x:v>
      </x:c>
      <x:c r="B9" s="16" t="str">
        <x:v>Account information is accessible.</x:v>
      </x:c>
      <x:c r="C9" s="16" t="str">
        <x:v>Add clearer labels and icons.</x:v>
      </x:c>
      <x:c r="D9" s="16" t="str">
        <x:v>Some redundant navigation tabs.</x:v>
      </x:c>
      <x:c r="E9" s="16" t="str">
        <x:v>Too much scrolling is required.</x:v>
      </x:c>
      <x:c r="F9" s="16" t="str">
        <x:v>Improve mobile responsiveness.</x:v>
      </x:c>
      <x:c r="G9" s="16" t="str">
        <x:v>Too small on mobile devices.</x:v>
      </x:c>
      <x:c r="H9" s="16" t="str">
        <x:v>Participant SUS score: 50/100</x:v>
      </x:c>
    </x:row>
    <x:row r="10">
      <x:c r="A10" t="n">
        <x:v>8</x:v>
      </x:c>
      <x:c r="B10" s="16" t="str">
        <x:v>The system provides useful academic information.</x:v>
      </x:c>
      <x:c r="C10" s="16" t="str">
        <x:v>Simplify navigation menus.</x:v>
      </x:c>
      <x:c r="D10" s="16" t="str">
        <x:v>Some redundant navigation tabs.</x:v>
      </x:c>
      <x:c r="E10" s="16" t="str">
        <x:v>Interface looks outdated.</x:v>
      </x:c>
      <x:c r="F10" s="16" t="str">
        <x:v>Use larger fonts and buttons.</x:v>
      </x:c>
      <x:c r="G10" s="16" t="str">
        <x:v>Too small on mobile devices.</x:v>
      </x:c>
      <x:c r="H10" s="16" t="str">
        <x:v>Participant SUS score: 60/100</x:v>
      </x:c>
    </x:row>
    <x:row r="11">
      <x:c r="A11" t="n">
        <x:v>9</x:v>
      </x:c>
      <x:c r="B11" s="16" t="str">
        <x:v>Account information is accessible.</x:v>
      </x:c>
      <x:c r="C11" s="16" t="str">
        <x:v>Use larger fonts and buttons.</x:v>
      </x:c>
      <x:c r="D11" s="16" t="str">
        <x:v>Some redundant navigation tabs.</x:v>
      </x:c>
      <x:c r="E11" s="16" t="str">
        <x:v>Too much scrolling is required.</x:v>
      </x:c>
      <x:c r="F11" s="16" t="str">
        <x:v>Add clearer labels and icons.</x:v>
      </x:c>
      <x:c r="G11" s="16" t="str">
        <x:v>Too small on mobile devices.</x:v>
      </x:c>
      <x:c r="H11" s="16" t="str">
        <x:v>Participant SUS score: 42.5/100</x:v>
      </x:c>
    </x:row>
    <x:row r="12">
      <x:c r="A12" t="n">
        <x:v>10</x:v>
      </x:c>
      <x:c r="B12" s="16" t="str">
        <x:v>The system provides useful academic information.</x:v>
      </x:c>
      <x:c r="C12" s="16" t="str">
        <x:v>Use larger fonts and buttons.</x:v>
      </x:c>
      <x:c r="D12" s="16" t="str">
        <x:v>Some redundant navigation tabs.</x:v>
      </x:c>
      <x:c r="E12" s="16" t="str">
        <x:v>Text is too small on mobile devices.</x:v>
      </x:c>
      <x:c r="F12" s="16" t="str">
        <x:v>Use larger fonts and buttons.</x:v>
      </x:c>
      <x:c r="G12" s="16" t="str">
        <x:v>Readable enough.</x:v>
      </x:c>
      <x:c r="H12" s="16" t="str">
        <x:v>Participant SUS score: 40/100</x:v>
      </x:c>
    </x:row>
    <x:row r="13">
      <x:c r="A13" t="n">
        <x:v>11</x:v>
      </x:c>
      <x:c r="B13" s="16" t="str">
        <x:v>Account information is accessible.</x:v>
      </x:c>
      <x:c r="C13" s="16" t="str">
        <x:v>Add clearer labels and icons.</x:v>
      </x:c>
      <x:c r="D13" s="16" t="str">
        <x:v>Some redundant navigation tabs.</x:v>
      </x:c>
      <x:c r="E13" s="16" t="str">
        <x:v>Navigation tabs are confusing.</x:v>
      </x:c>
      <x:c r="F13" s="16" t="str">
        <x:v>Simplify navigation menus.</x:v>
      </x:c>
      <x:c r="G13" s="16" t="str">
        <x:v>Readable enough.</x:v>
      </x:c>
      <x:c r="H13" s="16" t="str">
        <x:v>Participant SUS score: 55/100</x:v>
      </x:c>
    </x:row>
    <x:row r="14">
      <x:c r="A14" t="n">
        <x:v>12</x:v>
      </x:c>
      <x:c r="B14" s="16" t="str">
        <x:v>Account information is accessible.</x:v>
      </x:c>
      <x:c r="C14" s="16" t="str">
        <x:v>Use larger fonts and buttons.</x:v>
      </x:c>
      <x:c r="D14" s="16" t="str">
        <x:v>Some redundant navigation tabs.</x:v>
      </x:c>
      <x:c r="E14" s="16" t="str">
        <x:v>Too much scrolling is required.</x:v>
      </x:c>
      <x:c r="F14" s="16" t="str">
        <x:v>Use larger fonts and buttons.</x:v>
      </x:c>
      <x:c r="G14" s="16" t="str">
        <x:v>Readable enough.</x:v>
      </x:c>
      <x:c r="H14" s="16" t="str">
        <x:v>Participant SUS score: 60/100</x:v>
      </x:c>
    </x:row>
    <x:row r="15">
      <x:c r="A15" t="n">
        <x:v>13</x:v>
      </x:c>
      <x:c r="B15" s="16" t="str">
        <x:v>Easy access to grades and schedules.</x:v>
      </x:c>
      <x:c r="C15" s="16" t="str">
        <x:v>Simplify navigation menus.</x:v>
      </x:c>
      <x:c r="D15" s="16" t="str">
        <x:v>Some redundant navigation tabs.</x:v>
      </x:c>
      <x:c r="E15" s="16" t="str">
        <x:v>Too much scrolling is required.</x:v>
      </x:c>
      <x:c r="F15" s="16" t="str">
        <x:v>Use larger fonts and buttons.</x:v>
      </x:c>
      <x:c r="G15" s="16" t="str">
        <x:v>Readable enough.</x:v>
      </x:c>
      <x:c r="H15" s="16" t="str">
        <x:v>Participant SUS score: 45/100</x:v>
      </x:c>
    </x:row>
    <x:row r="16">
      <x:c r="A16" t="n">
        <x:v>14</x:v>
      </x:c>
      <x:c r="B16" s="16" t="str">
        <x:v>Easy access to grades and schedules.</x:v>
      </x:c>
      <x:c r="C16" s="16" t="str">
        <x:v>Improve mobile responsiveness.</x:v>
      </x:c>
      <x:c r="D16" s="16" t="str">
        <x:v>Some redundant navigation tabs.</x:v>
      </x:c>
      <x:c r="E16" s="16" t="str">
        <x:v>Interface looks outdated.</x:v>
      </x:c>
      <x:c r="F16" s="16" t="str">
        <x:v>Use larger fonts and buttons.</x:v>
      </x:c>
      <x:c r="G16" s="16" t="str">
        <x:v>Readable enough.</x:v>
      </x:c>
      <x:c r="H16" s="16" t="str">
        <x:v>Participant SUS score: 40/100</x:v>
      </x:c>
    </x:row>
    <x:row r="17">
      <x:c r="A17" t="n">
        <x:v>15</x:v>
      </x:c>
      <x:c r="B17" s="16" t="str">
        <x:v>The system provides useful academic information.</x:v>
      </x:c>
      <x:c r="C17" s="16" t="str">
        <x:v>Improve mobile responsiveness.</x:v>
      </x:c>
      <x:c r="D17" s="16" t="str">
        <x:v>Some redundant navigation tabs.</x:v>
      </x:c>
      <x:c r="E17" s="16" t="str">
        <x:v>Navigation tabs are confusing.</x:v>
      </x:c>
      <x:c r="F17" s="16" t="str">
        <x:v>Add clearer labels and icons.</x:v>
      </x:c>
      <x:c r="G17" s="16" t="str">
        <x:v>Readable enough.</x:v>
      </x:c>
      <x:c r="H17" s="16" t="str">
        <x:v>Participant SUS score: 55/100</x:v>
      </x:c>
    </x:row>
    <x:row r="18">
      <x:c r="A18" t="n">
        <x:v>16</x:v>
      </x:c>
      <x:c r="B18" s="16" t="str">
        <x:v>Easy access to grades and schedules.</x:v>
      </x:c>
      <x:c r="C18" s="16" t="str">
        <x:v>Improve mobile responsiveness.</x:v>
      </x:c>
      <x:c r="D18" s="16" t="str">
        <x:v>Some redundant navigation tabs.</x:v>
      </x:c>
      <x:c r="E18" s="16" t="str">
        <x:v>Text is too small on mobile devices.</x:v>
      </x:c>
      <x:c r="F18" s="16" t="str">
        <x:v>Add clearer labels and icons.</x:v>
      </x:c>
      <x:c r="G18" s="16" t="str">
        <x:v>Too small on mobile devices.</x:v>
      </x:c>
      <x:c r="H18" s="16" t="str">
        <x:v>Participant SUS score: 47.5/100</x:v>
      </x:c>
    </x:row>
    <x:row r="19">
      <x:c r="A19" t="n">
        <x:v>17</x:v>
      </x:c>
      <x:c r="B19" s="16" t="str">
        <x:v>Easy access to grades and schedules.</x:v>
      </x:c>
      <x:c r="C19" s="16" t="str">
        <x:v>Simplify navigation menus.</x:v>
      </x:c>
      <x:c r="D19" s="16" t="str">
        <x:v>Some redundant navigation tabs.</x:v>
      </x:c>
      <x:c r="E19" s="16" t="str">
        <x:v>Navigation tabs are confusing.</x:v>
      </x:c>
      <x:c r="F19" s="16" t="str">
        <x:v>Use larger fonts and buttons.</x:v>
      </x:c>
      <x:c r="G19" s="16" t="str">
        <x:v>Readable enough.</x:v>
      </x:c>
      <x:c r="H19" s="16" t="str">
        <x:v>Participant SUS score: 55/100</x:v>
      </x:c>
    </x:row>
    <x:row r="20">
      <x:c r="A20" t="n">
        <x:v>18</x:v>
      </x:c>
      <x:c r="B20" s="16" t="str">
        <x:v>The system provides useful academic information.</x:v>
      </x:c>
      <x:c r="C20" s="16" t="str">
        <x:v>Use larger fonts and buttons.</x:v>
      </x:c>
      <x:c r="D20" s="16" t="str">
        <x:v>Some redundant navigation tabs.</x:v>
      </x:c>
      <x:c r="E20" s="16" t="str">
        <x:v>Navigation tabs are confusing.</x:v>
      </x:c>
      <x:c r="F20" s="16" t="str">
        <x:v>Add clearer labels and icons.</x:v>
      </x:c>
      <x:c r="G20" s="16" t="str">
        <x:v>Too small on mobile devices.</x:v>
      </x:c>
      <x:c r="H20" s="16" t="str">
        <x:v>Participant SUS score: 47.5/100</x:v>
      </x:c>
    </x:row>
    <x:row r="21">
      <x:c r="A21" t="n">
        <x:v>19</x:v>
      </x:c>
      <x:c r="B21" s="16" t="str">
        <x:v>Account information is accessible.</x:v>
      </x:c>
      <x:c r="C21" s="16" t="str">
        <x:v>Simplify navigation menus.</x:v>
      </x:c>
      <x:c r="D21" s="16" t="str">
        <x:v>Some redundant navigation tabs.</x:v>
      </x:c>
      <x:c r="E21" s="16" t="str">
        <x:v>Navigation tabs are confusing.</x:v>
      </x:c>
      <x:c r="F21" s="16" t="str">
        <x:v>Simplify navigation menus.</x:v>
      </x:c>
      <x:c r="G21" s="16" t="str">
        <x:v>Readable enough.</x:v>
      </x:c>
      <x:c r="H21" s="16" t="str">
        <x:v>Participant SUS score: 42.5/100</x:v>
      </x:c>
    </x:row>
    <x:row r="22">
      <x:c r="A22" t="n">
        <x:v>20</x:v>
      </x:c>
      <x:c r="B22" s="16" t="str">
        <x:v>Login process was straightforward.</x:v>
      </x:c>
      <x:c r="C22" s="16" t="str">
        <x:v>Use larger fonts and buttons.</x:v>
      </x:c>
      <x:c r="D22" s="16" t="str">
        <x:v>Some redundant navigation tabs.</x:v>
      </x:c>
      <x:c r="E22" s="16" t="str">
        <x:v>Text is too small on mobile devices.</x:v>
      </x:c>
      <x:c r="F22" s="16" t="str">
        <x:v>Use larger fonts and buttons.</x:v>
      </x:c>
      <x:c r="G22" s="16" t="str">
        <x:v>Readable enough.</x:v>
      </x:c>
      <x:c r="H22" s="16" t="str">
        <x:v>Participant SUS score: 60/100</x:v>
      </x:c>
    </x:row>
    <x:row r="23">
      <x:c r="A23" t="n">
        <x:v>21</x:v>
      </x:c>
      <x:c r="B23" s="16" t="str">
        <x:v>Easy access to grades and schedules.</x:v>
      </x:c>
      <x:c r="C23" s="16" t="str">
        <x:v>Improve mobile responsiveness.</x:v>
      </x:c>
      <x:c r="D23" s="16" t="str">
        <x:v>Some redundant navigation tabs.</x:v>
      </x:c>
      <x:c r="E23" s="16" t="str">
        <x:v>Text is too small on mobile devices.</x:v>
      </x:c>
      <x:c r="F23" s="16" t="str">
        <x:v>Use larger fonts and buttons.</x:v>
      </x:c>
      <x:c r="G23" s="16" t="str">
        <x:v>Too small on mobile devices.</x:v>
      </x:c>
      <x:c r="H23" s="16" t="str">
        <x:v>Participant SUS score: 50/100</x:v>
      </x:c>
    </x:row>
    <x:row r="24">
      <x:c r="A24" t="n">
        <x:v>22</x:v>
      </x:c>
      <x:c r="B24" s="16" t="str">
        <x:v>Account information is accessible.</x:v>
      </x:c>
      <x:c r="C24" s="16" t="str">
        <x:v>Improve mobile responsiveness.</x:v>
      </x:c>
      <x:c r="D24" s="16" t="str">
        <x:v>Some redundant navigation tabs.</x:v>
      </x:c>
      <x:c r="E24" s="16" t="str">
        <x:v>Interface looks outdated.</x:v>
      </x:c>
      <x:c r="F24" s="16" t="str">
        <x:v>Add clearer labels and icons.</x:v>
      </x:c>
      <x:c r="G24" s="16" t="str">
        <x:v>Readable enough.</x:v>
      </x:c>
      <x:c r="H24" s="16" t="str">
        <x:v>Participant SUS score: 42.5/100</x:v>
      </x:c>
    </x:row>
    <x:row r="25">
      <x:c r="A25" t="n">
        <x:v>23</x:v>
      </x:c>
      <x:c r="B25" s="16" t="str">
        <x:v>Login process was straightforward.</x:v>
      </x:c>
      <x:c r="C25" s="16" t="str">
        <x:v>Simplify navigation menus.</x:v>
      </x:c>
      <x:c r="D25" s="16" t="str">
        <x:v>Some redundant navigation tabs.</x:v>
      </x:c>
      <x:c r="E25" s="16" t="str">
        <x:v>Interface looks outdated.</x:v>
      </x:c>
      <x:c r="F25" s="16" t="str">
        <x:v>Use larger fonts and buttons.</x:v>
      </x:c>
      <x:c r="G25" s="16" t="str">
        <x:v>Readable enough.</x:v>
      </x:c>
      <x:c r="H25" s="16" t="str">
        <x:v>Participant SUS score: 50/100</x:v>
      </x:c>
    </x:row>
    <x:row r="26">
      <x:c r="A26" t="n">
        <x:v>24</x:v>
      </x:c>
      <x:c r="B26" s="16" t="str">
        <x:v>Account information is accessible.</x:v>
      </x:c>
      <x:c r="C26" s="16" t="str">
        <x:v>Simplify navigation menus.</x:v>
      </x:c>
      <x:c r="D26" s="16" t="str">
        <x:v>Some redundant navigation tabs.</x:v>
      </x:c>
      <x:c r="E26" s="16" t="str">
        <x:v>Navigation tabs are confusing.</x:v>
      </x:c>
      <x:c r="F26" s="16" t="str">
        <x:v>Simplify navigation menus.</x:v>
      </x:c>
      <x:c r="G26" s="16" t="str">
        <x:v>Readable enough.</x:v>
      </x:c>
      <x:c r="H26" s="16" t="str">
        <x:v>Participant SUS score: 52.5/100</x:v>
      </x:c>
    </x:row>
    <x:row r="27">
      <x:c r="A27" t="n">
        <x:v>25</x:v>
      </x:c>
      <x:c r="B27" s="16" t="str">
        <x:v>Login process was straightforward.</x:v>
      </x:c>
      <x:c r="C27" s="16" t="str">
        <x:v>Use larger fonts and buttons.</x:v>
      </x:c>
      <x:c r="D27" s="16" t="str">
        <x:v>Some redundant navigation tabs.</x:v>
      </x:c>
      <x:c r="E27" s="16" t="str">
        <x:v>Interface looks outdated.</x:v>
      </x:c>
      <x:c r="F27" s="16" t="str">
        <x:v>Use larger fonts and buttons.</x:v>
      </x:c>
      <x:c r="G27" s="16" t="str">
        <x:v>Too small on mobile devices.</x:v>
      </x:c>
      <x:c r="H27" s="16" t="str">
        <x:v>Participant SUS score: 35/100</x:v>
      </x:c>
    </x:row>
    <x:row r="28">
      <x:c r="A28" t="n">
        <x:v>26</x:v>
      </x:c>
      <x:c r="B28" s="16" t="str">
        <x:v>Easy access to grades and schedules.</x:v>
      </x:c>
      <x:c r="C28" s="16" t="str">
        <x:v>Add clearer labels and icons.</x:v>
      </x:c>
      <x:c r="D28" s="16" t="str">
        <x:v>Some redundant navigation tabs.</x:v>
      </x:c>
      <x:c r="E28" s="16" t="str">
        <x:v>Text is too small on mobile devices.</x:v>
      </x:c>
      <x:c r="F28" s="16" t="str">
        <x:v>Use larger fonts and buttons.</x:v>
      </x:c>
      <x:c r="G28" s="16" t="str">
        <x:v>Too small on mobile devices.</x:v>
      </x:c>
      <x:c r="H28" s="16" t="str">
        <x:v>Participant SUS score: 35/100</x:v>
      </x:c>
    </x:row>
    <x:row r="29">
      <x:c r="A29" t="n">
        <x:v>27</x:v>
      </x:c>
      <x:c r="B29" s="16" t="str">
        <x:v>Easy access to grades and schedules.</x:v>
      </x:c>
      <x:c r="C29" s="16" t="str">
        <x:v>Use larger fonts and buttons.</x:v>
      </x:c>
      <x:c r="D29" s="16" t="str">
        <x:v>Some redundant navigation tabs.</x:v>
      </x:c>
      <x:c r="E29" s="16" t="str">
        <x:v>Navigation tabs are confusing.</x:v>
      </x:c>
      <x:c r="F29" s="16" t="str">
        <x:v>Use larger fonts and buttons.</x:v>
      </x:c>
      <x:c r="G29" s="16" t="str">
        <x:v>Readable enough.</x:v>
      </x:c>
      <x:c r="H29" s="16" t="str">
        <x:v>Participant SUS score: 47.5/100</x:v>
      </x:c>
    </x:row>
    <x:row r="30">
      <x:c r="A30" t="n">
        <x:v>28</x:v>
      </x:c>
      <x:c r="B30" s="16" t="str">
        <x:v>Account information is accessible.</x:v>
      </x:c>
      <x:c r="C30" s="16" t="str">
        <x:v>Add clearer labels and icons.</x:v>
      </x:c>
      <x:c r="D30" s="16" t="str">
        <x:v>Some redundant navigation tabs.</x:v>
      </x:c>
      <x:c r="E30" s="16" t="str">
        <x:v>Interface looks outdated.</x:v>
      </x:c>
      <x:c r="F30" s="16" t="str">
        <x:v>Simplify navigation menus.</x:v>
      </x:c>
      <x:c r="G30" s="16" t="str">
        <x:v>Too small on mobile devices.</x:v>
      </x:c>
      <x:c r="H30" s="16" t="str">
        <x:v>Participant SUS score: 45/100</x:v>
      </x:c>
    </x:row>
    <x:row r="31">
      <x:c r="A31" t="n">
        <x:v>29</x:v>
      </x:c>
      <x:c r="B31" s="16" t="str">
        <x:v>Easy access to grades and schedules.</x:v>
      </x:c>
      <x:c r="C31" s="16" t="str">
        <x:v>Use larger fonts and buttons.</x:v>
      </x:c>
      <x:c r="D31" s="16" t="str">
        <x:v>Some redundant navigation tabs.</x:v>
      </x:c>
      <x:c r="E31" s="16" t="str">
        <x:v>Interface looks outdated.</x:v>
      </x:c>
      <x:c r="F31" s="16" t="str">
        <x:v>Simplify navigation menus.</x:v>
      </x:c>
      <x:c r="G31" s="16" t="str">
        <x:v>Readable enough.</x:v>
      </x:c>
      <x:c r="H31" s="16" t="str">
        <x:v>Participant SUS score: 57.5/100</x:v>
      </x:c>
    </x:row>
    <x:row r="32">
      <x:c r="A32" t="n">
        <x:v>30</x:v>
      </x:c>
      <x:c r="B32" s="16" t="str">
        <x:v>Login process was straightforward.</x:v>
      </x:c>
      <x:c r="C32" s="16" t="str">
        <x:v>Add clearer labels and icons.</x:v>
      </x:c>
      <x:c r="D32" s="16" t="str">
        <x:v>Some redundant navigation tabs.</x:v>
      </x:c>
      <x:c r="E32" s="16" t="str">
        <x:v>Navigation tabs are confusing.</x:v>
      </x:c>
      <x:c r="F32" s="16" t="str">
        <x:v>Simplify navigation menus.</x:v>
      </x:c>
      <x:c r="G32" s="16" t="str">
        <x:v>Readable enough.</x:v>
      </x:c>
      <x:c r="H32" s="16" t="str">
        <x:v>Participant SUS score: 52.5/100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ba58c2810e545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55.849998474121094" hidden="0" customWidth="1"/>
    <x:col min="3" max="3" width="20.860000610351562" hidden="0" customWidth="1"/>
    <x:col min="4" max="4" width="20.860000610351562" hidden="0" customWidth="1"/>
  </x:cols>
  <x:sheetData>
    <x:row r="1" ht="31.5" customHeight="1">
      <x:c r="A1" s="3" t="str">
        <x:v>Source Notes and Workbook Guide</x:v>
      </x:c>
      <x:c r="B1" s="3" t="str">
        <x:v>Source Notes and Workbook Guide</x:v>
      </x:c>
      <x:c r="C1" s="3" t="str">
        <x:v>Source Notes and Workbook Guide</x:v>
      </x:c>
      <x:c r="D1" s="3" t="str">
        <x:v>Source Notes and Workbook Guide</x:v>
      </x:c>
    </x:row>
    <x:row r="3">
      <x:c r="A3" s="19" t="str">
        <x:v>Source PDF</x:v>
      </x:c>
      <x:c r="B3" s="16" t="str">
        <x:v>C:\Users\User\Downloads\HCI_Usability_OURSCHOOL-1-1.pdf</x:v>
      </x:c>
    </x:row>
    <x:row r="4">
      <x:c r="A4" s="19" t="str">
        <x:v>PDF pages extracted</x:v>
      </x:c>
      <x:c r="B4" s="16" t="n">
        <x:v>60</x:v>
      </x:c>
    </x:row>
    <x:row r="5">
      <x:c r="A5" s="19" t="str">
        <x:v>Participant records parsed</x:v>
      </x:c>
      <x:c r="B5" s="16" t="n">
        <x:v>30</x:v>
      </x:c>
    </x:row>
    <x:row r="6">
      <x:c r="A6" s="19" t="str">
        <x:v>Workbook purpose</x:v>
      </x:c>
      <x:c r="B6" s="16" t="str">
        <x:v>Structured usability-test analysis for MySchool, including task outcomes, SUS responses, participant details, and qualitative themes.</x:v>
      </x:c>
    </x:row>
    <x:row r="7">
      <x:c r="A7" s="19" t="str">
        <x:v>How to use</x:v>
      </x:c>
      <x:c r="B7" s="16" t="str">
        <x:v>Filter task logs by result, participant, or device; review Summary for aggregate metrics; use qualitative tabs for design recommendations.</x:v>
      </x:c>
    </x:row>
    <x:row r="8">
      <x:c r="A8" s="19" t="str">
        <x:v>Formula-backed areas</x:v>
      </x:c>
      <x:c r="B8" s="16" t="str">
        <x:v>Summary metrics and task-summary table use formulas tied to the participant and task-log tabs.</x:v>
      </x:c>
    </x:row>
    <x:row r="9">
      <x:c r="A9" s="19" t="str">
        <x:v>Created</x:v>
      </x:c>
      <x:c r="B9" s="16" t="str">
        <x:v>2026-05-19</x:v>
      </x:c>
    </x:row>
    <x:row r="10">
      <x:c r="A10" s="19" t="str">
        <x:v>Notes</x:v>
      </x:c>
      <x:c r="B10" s="16" t="str">
        <x:v>Some values are extracted from PDF text; review against source PDF if using for formal submission.</x:v>
      </x:c>
    </x:row>
  </x:sheetData>
  <x:mergeCells>
    <x:mergeCell ref="A1:D1"/>
  </x:mergeCells>
  <x:pageMargins left="0.7" right="0.7" top="0.75" bottom="0.75" header="0.3" footer="0.3"/>
</x:worksheet>
</file>